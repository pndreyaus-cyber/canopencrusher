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ro\Desktop\Robot\Архив\"/>
    </mc:Choice>
  </mc:AlternateContent>
  <xr:revisionPtr revIDLastSave="0" documentId="13_ncr:1_{8B45C246-FD1D-4548-939A-23AED37F10B5}" xr6:coauthVersionLast="47" xr6:coauthVersionMax="47" xr10:uidLastSave="{00000000-0000-0000-0000-000000000000}"/>
  <bookViews>
    <workbookView xWindow="-108" yWindow="-108" windowWidth="23256" windowHeight="13896" xr2:uid="{50A0D0E3-B803-41FB-A0E1-8877EC12A678}"/>
  </bookViews>
  <sheets>
    <sheet name="6-осевой робот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5" i="2" l="1"/>
  <c r="Z24" i="2"/>
  <c r="Z22" i="2"/>
  <c r="Z21" i="2"/>
  <c r="Z15" i="2"/>
  <c r="Y25" i="2"/>
  <c r="Y24" i="2"/>
  <c r="Y22" i="2"/>
  <c r="Y21" i="2"/>
  <c r="Y15" i="2"/>
  <c r="M22" i="2"/>
  <c r="X16" i="2"/>
  <c r="X22" i="2"/>
  <c r="X25" i="2" s="1"/>
  <c r="X21" i="2"/>
  <c r="X24" i="2" s="1"/>
  <c r="X15" i="2"/>
  <c r="M24" i="2"/>
  <c r="P17" i="2"/>
  <c r="P21" i="2" s="1"/>
  <c r="P24" i="2" s="1"/>
  <c r="Q17" i="2"/>
  <c r="Q21" i="2" s="1"/>
  <c r="Q24" i="2" s="1"/>
  <c r="R17" i="2"/>
  <c r="R21" i="2" s="1"/>
  <c r="R24" i="2" s="1"/>
  <c r="S17" i="2"/>
  <c r="S21" i="2" s="1"/>
  <c r="S24" i="2" s="1"/>
  <c r="N16" i="2"/>
  <c r="N17" i="2" s="1"/>
  <c r="N21" i="2" s="1"/>
  <c r="N24" i="2" s="1"/>
  <c r="O16" i="2"/>
  <c r="O17" i="2" s="1"/>
  <c r="O21" i="2" s="1"/>
  <c r="O24" i="2" s="1"/>
  <c r="P16" i="2"/>
  <c r="Q16" i="2"/>
  <c r="R16" i="2"/>
  <c r="S16" i="2"/>
  <c r="T16" i="2"/>
  <c r="T17" i="2" s="1"/>
  <c r="U16" i="2"/>
  <c r="U17" i="2" s="1"/>
  <c r="V16" i="2"/>
  <c r="W16" i="2"/>
  <c r="M16" i="2"/>
  <c r="M17" i="2" s="1"/>
  <c r="M21" i="2" s="1"/>
  <c r="X26" i="2" l="1"/>
  <c r="U21" i="2"/>
  <c r="U24" i="2" s="1"/>
  <c r="U22" i="2"/>
  <c r="U25" i="2" s="1"/>
  <c r="T21" i="2"/>
  <c r="T24" i="2" s="1"/>
  <c r="T22" i="2"/>
  <c r="T25" i="2" s="1"/>
  <c r="S22" i="2"/>
  <c r="S25" i="2" s="1"/>
  <c r="S26" i="2" s="1"/>
  <c r="R22" i="2"/>
  <c r="R25" i="2" s="1"/>
  <c r="R26" i="2" s="1"/>
  <c r="Q22" i="2"/>
  <c r="Q25" i="2" s="1"/>
  <c r="Q26" i="2" s="1"/>
  <c r="P22" i="2"/>
  <c r="P25" i="2" s="1"/>
  <c r="P26" i="2" s="1"/>
  <c r="M25" i="2"/>
  <c r="M26" i="2" s="1"/>
  <c r="O22" i="2"/>
  <c r="O25" i="2" s="1"/>
  <c r="O26" i="2" s="1"/>
  <c r="N22" i="2"/>
  <c r="N25" i="2" s="1"/>
  <c r="N26" i="2" s="1"/>
  <c r="W17" i="2"/>
  <c r="W21" i="2" s="1"/>
  <c r="W24" i="2" s="1"/>
  <c r="V17" i="2"/>
  <c r="V21" i="2" s="1"/>
  <c r="V24" i="2" s="1"/>
  <c r="T26" i="2" l="1"/>
  <c r="U26" i="2"/>
  <c r="W22" i="2"/>
  <c r="W25" i="2" s="1"/>
  <c r="W26" i="2" s="1"/>
  <c r="V22" i="2"/>
  <c r="V25" i="2" s="1"/>
  <c r="V26" i="2" s="1"/>
  <c r="B32" i="2"/>
  <c r="B31" i="2"/>
  <c r="B27" i="2"/>
  <c r="B23" i="2"/>
  <c r="B21" i="2"/>
  <c r="D25" i="2" l="1"/>
</calcChain>
</file>

<file path=xl/sharedStrings.xml><?xml version="1.0" encoding="utf-8"?>
<sst xmlns="http://schemas.openxmlformats.org/spreadsheetml/2006/main" count="56" uniqueCount="38">
  <si>
    <t>ускорение</t>
  </si>
  <si>
    <t>кг</t>
  </si>
  <si>
    <t>м/с2</t>
  </si>
  <si>
    <t>Нм</t>
  </si>
  <si>
    <t>длина звена J3</t>
  </si>
  <si>
    <t>максимальная длина звена J3 c M8010E17B50 (50:1)</t>
  </si>
  <si>
    <t>предполагается, что двигатель J4 будет выступать в роли противовеса</t>
  </si>
  <si>
    <t>м</t>
  </si>
  <si>
    <t>Сила по J3</t>
  </si>
  <si>
    <t>Н</t>
  </si>
  <si>
    <t>масса 1 двигателя</t>
  </si>
  <si>
    <t>масса 2 двигателя</t>
  </si>
  <si>
    <t>масса 3 двигателя</t>
  </si>
  <si>
    <t>масса 4 двигателя</t>
  </si>
  <si>
    <t>масса 5 двигателя</t>
  </si>
  <si>
    <t>масса 6 двигателя</t>
  </si>
  <si>
    <t>Масса звена J2</t>
  </si>
  <si>
    <t>Масса звена J3</t>
  </si>
  <si>
    <t>Номинальный крутящий момент двигателя 1</t>
  </si>
  <si>
    <t>Номинальный крутящий момент двигателя 2</t>
  </si>
  <si>
    <t>Номинальный крутящий момент двигателя 3</t>
  </si>
  <si>
    <t>Номинальный крутящий момент двигателя 4</t>
  </si>
  <si>
    <t>Номинальный крутящий момент двигателя 5</t>
  </si>
  <si>
    <t>Номинальный крутящий момент двигателя 6</t>
  </si>
  <si>
    <t>Масса полезной нагрузки</t>
  </si>
  <si>
    <t>максимальная длина звена J2</t>
  </si>
  <si>
    <t>длина звена J2</t>
  </si>
  <si>
    <t>Крутящий момент на 3 оси</t>
  </si>
  <si>
    <t>Крутящий момент на 2 оси</t>
  </si>
  <si>
    <t>кг/м</t>
  </si>
  <si>
    <t>Профиль</t>
  </si>
  <si>
    <t>Длина звена J2</t>
  </si>
  <si>
    <t>Длина звена J3</t>
  </si>
  <si>
    <t>Линейная плотность</t>
  </si>
  <si>
    <t>Torque J2</t>
  </si>
  <si>
    <t>Torque J3</t>
  </si>
  <si>
    <t>k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</si>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</sst>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ABADB-D3F9-4DA4-AA79-12845320D802}">
  <dimension ref="A3:Z32"/>
  <sheetViews>
    <sheetView tabSelected="1" topLeftCell="L10" zoomScale="112" workbookViewId="0">
      <selection activeCell="X25" sqref="X25"/>
    </sheetView>
  </sheetViews>
  <sheetFormatPr defaultRowHeight="14.4" x14ac:dyDescent="0.3"/>
  <cols>
    <col min="1" max="1" width="48.5546875" customWidth="1"/>
    <col min="12" max="12" width="20.33203125" customWidth="1"/>
  </cols>
  <sheetData>
    <row r="3" spans="1:26" x14ac:dyDescent="0.3">
      <c r="A3" t="s">
        <v>0</v>
      </c>
      <c r="B3">
        <v>9.82</v>
      </c>
      <c r="C3" t="s">
        <v>2</v>
      </c>
    </row>
    <row r="4" spans="1:26" x14ac:dyDescent="0.3">
      <c r="A4" t="s">
        <v>10</v>
      </c>
      <c r="B4">
        <v>2.5</v>
      </c>
      <c r="C4" t="s">
        <v>1</v>
      </c>
    </row>
    <row r="5" spans="1:26" x14ac:dyDescent="0.3">
      <c r="A5" t="s">
        <v>11</v>
      </c>
      <c r="B5">
        <v>2.5</v>
      </c>
      <c r="C5" t="s">
        <v>1</v>
      </c>
    </row>
    <row r="6" spans="1:26" x14ac:dyDescent="0.3">
      <c r="A6" t="s">
        <v>12</v>
      </c>
      <c r="B6">
        <v>1.1499999999999999</v>
      </c>
      <c r="C6" t="s">
        <v>1</v>
      </c>
    </row>
    <row r="7" spans="1:26" x14ac:dyDescent="0.3">
      <c r="A7" t="s">
        <v>13</v>
      </c>
      <c r="B7">
        <v>0.8</v>
      </c>
      <c r="C7" t="s">
        <v>1</v>
      </c>
    </row>
    <row r="8" spans="1:26" x14ac:dyDescent="0.3">
      <c r="A8" t="s">
        <v>14</v>
      </c>
      <c r="B8">
        <v>0.8</v>
      </c>
      <c r="C8" t="s">
        <v>1</v>
      </c>
    </row>
    <row r="9" spans="1:26" x14ac:dyDescent="0.3">
      <c r="A9" t="s">
        <v>15</v>
      </c>
      <c r="B9">
        <v>0.8</v>
      </c>
      <c r="C9" t="s">
        <v>1</v>
      </c>
    </row>
    <row r="10" spans="1:26" x14ac:dyDescent="0.3">
      <c r="A10" t="s">
        <v>16</v>
      </c>
      <c r="B10">
        <v>2</v>
      </c>
      <c r="C10" t="s">
        <v>1</v>
      </c>
    </row>
    <row r="11" spans="1:26" x14ac:dyDescent="0.3">
      <c r="A11" t="s">
        <v>17</v>
      </c>
      <c r="B11">
        <v>1.5</v>
      </c>
      <c r="C11" t="s">
        <v>1</v>
      </c>
    </row>
    <row r="12" spans="1:26" x14ac:dyDescent="0.3">
      <c r="A12" t="s">
        <v>24</v>
      </c>
      <c r="B12">
        <v>1</v>
      </c>
      <c r="C12" t="s">
        <v>1</v>
      </c>
      <c r="L12" t="s">
        <v>37</v>
      </c>
      <c r="M12">
        <v>0.7</v>
      </c>
    </row>
    <row r="14" spans="1:26" x14ac:dyDescent="0.3">
      <c r="A14" t="s">
        <v>18</v>
      </c>
      <c r="B14">
        <v>51</v>
      </c>
      <c r="C14" t="s">
        <v>3</v>
      </c>
      <c r="L14" t="s">
        <v>36</v>
      </c>
      <c r="M14">
        <v>0.4</v>
      </c>
      <c r="N14">
        <v>0.45</v>
      </c>
      <c r="O14">
        <v>0.5</v>
      </c>
      <c r="P14">
        <v>0.55000000000000004</v>
      </c>
      <c r="Q14">
        <v>0.6</v>
      </c>
      <c r="R14">
        <v>0.65</v>
      </c>
      <c r="S14">
        <v>0.7</v>
      </c>
      <c r="T14">
        <v>0.75</v>
      </c>
      <c r="U14">
        <v>0.8</v>
      </c>
      <c r="V14">
        <v>0.85</v>
      </c>
      <c r="W14">
        <v>0.9</v>
      </c>
    </row>
    <row r="15" spans="1:26" x14ac:dyDescent="0.3">
      <c r="A15" t="s">
        <v>19</v>
      </c>
      <c r="B15">
        <v>51</v>
      </c>
      <c r="C15" t="s">
        <v>3</v>
      </c>
      <c r="L15" t="s">
        <v>33</v>
      </c>
      <c r="M15">
        <v>0.83</v>
      </c>
      <c r="N15">
        <v>0.83</v>
      </c>
      <c r="O15">
        <v>0.83</v>
      </c>
      <c r="P15">
        <v>0.83</v>
      </c>
      <c r="Q15">
        <v>0.83</v>
      </c>
      <c r="R15">
        <v>0.83</v>
      </c>
      <c r="S15">
        <v>0.83</v>
      </c>
      <c r="T15">
        <v>0.83</v>
      </c>
      <c r="U15">
        <v>0.83</v>
      </c>
      <c r="V15">
        <v>0.83</v>
      </c>
      <c r="W15">
        <v>0.83</v>
      </c>
      <c r="X15">
        <f>W15</f>
        <v>0.83</v>
      </c>
      <c r="Y15">
        <f>X15</f>
        <v>0.83</v>
      </c>
      <c r="Z15">
        <f>Y15</f>
        <v>0.83</v>
      </c>
    </row>
    <row r="16" spans="1:26" x14ac:dyDescent="0.3">
      <c r="A16" t="s">
        <v>20</v>
      </c>
      <c r="B16">
        <v>34</v>
      </c>
      <c r="C16" t="s">
        <v>3</v>
      </c>
      <c r="E16" t="s">
        <v>30</v>
      </c>
      <c r="F16">
        <v>0.83</v>
      </c>
      <c r="G16" t="s">
        <v>29</v>
      </c>
      <c r="L16" t="s">
        <v>31</v>
      </c>
      <c r="M16">
        <f>M14*$M$12</f>
        <v>0.27999999999999997</v>
      </c>
      <c r="N16">
        <f t="shared" ref="N16:W16" si="0">N14*$M$12</f>
        <v>0.315</v>
      </c>
      <c r="O16">
        <f t="shared" si="0"/>
        <v>0.35</v>
      </c>
      <c r="P16">
        <f t="shared" si="0"/>
        <v>0.38500000000000001</v>
      </c>
      <c r="Q16">
        <f t="shared" si="0"/>
        <v>0.42</v>
      </c>
      <c r="R16">
        <f t="shared" si="0"/>
        <v>0.45499999999999996</v>
      </c>
      <c r="S16">
        <f t="shared" si="0"/>
        <v>0.48999999999999994</v>
      </c>
      <c r="T16">
        <f t="shared" si="0"/>
        <v>0.52499999999999991</v>
      </c>
      <c r="U16">
        <f t="shared" si="0"/>
        <v>0.55999999999999994</v>
      </c>
      <c r="V16">
        <f t="shared" si="0"/>
        <v>0.59499999999999997</v>
      </c>
      <c r="W16">
        <f t="shared" si="0"/>
        <v>0.63</v>
      </c>
      <c r="X16">
        <f>0.35</f>
        <v>0.35</v>
      </c>
      <c r="Y16">
        <v>0.4</v>
      </c>
      <c r="Z16">
        <v>0.35</v>
      </c>
    </row>
    <row r="17" spans="1:26" x14ac:dyDescent="0.3">
      <c r="A17" t="s">
        <v>21</v>
      </c>
      <c r="B17">
        <v>7</v>
      </c>
      <c r="C17" t="s">
        <v>3</v>
      </c>
      <c r="L17" t="s">
        <v>32</v>
      </c>
      <c r="M17">
        <f>$M$12-M16</f>
        <v>0.42</v>
      </c>
      <c r="N17">
        <f t="shared" ref="N17:W17" si="1">$M$12-N16</f>
        <v>0.38499999999999995</v>
      </c>
      <c r="O17">
        <f t="shared" si="1"/>
        <v>0.35</v>
      </c>
      <c r="P17">
        <f t="shared" si="1"/>
        <v>0.31499999999999995</v>
      </c>
      <c r="Q17">
        <f t="shared" si="1"/>
        <v>0.27999999999999997</v>
      </c>
      <c r="R17">
        <f t="shared" si="1"/>
        <v>0.245</v>
      </c>
      <c r="S17">
        <f t="shared" si="1"/>
        <v>0.21000000000000002</v>
      </c>
      <c r="T17">
        <f t="shared" si="1"/>
        <v>0.17500000000000004</v>
      </c>
      <c r="U17">
        <f t="shared" si="1"/>
        <v>0.14000000000000001</v>
      </c>
      <c r="V17">
        <f t="shared" si="1"/>
        <v>0.10499999999999998</v>
      </c>
      <c r="W17">
        <f t="shared" si="1"/>
        <v>6.9999999999999951E-2</v>
      </c>
      <c r="X17">
        <v>0.4</v>
      </c>
      <c r="Y17">
        <v>0.35</v>
      </c>
      <c r="Z17">
        <v>0.37</v>
      </c>
    </row>
    <row r="18" spans="1:26" x14ac:dyDescent="0.3">
      <c r="A18" t="s">
        <v>22</v>
      </c>
      <c r="B18">
        <v>7</v>
      </c>
      <c r="C18" t="s">
        <v>3</v>
      </c>
    </row>
    <row r="19" spans="1:26" x14ac:dyDescent="0.3">
      <c r="A19" t="s">
        <v>23</v>
      </c>
      <c r="B19">
        <v>7</v>
      </c>
      <c r="C19" t="s">
        <v>3</v>
      </c>
    </row>
    <row r="21" spans="1:26" x14ac:dyDescent="0.3">
      <c r="A21" t="s">
        <v>8</v>
      </c>
      <c r="B21">
        <f>B3*(B8+B11+B12)</f>
        <v>32.405999999999999</v>
      </c>
      <c r="C21" t="s">
        <v>9</v>
      </c>
      <c r="L21" t="s">
        <v>35</v>
      </c>
      <c r="M21">
        <f>$B$3*(M17*M15*M17/2+($B$8+$B$12)*M17)</f>
        <v>8.1428029199999994</v>
      </c>
      <c r="N21">
        <f t="shared" ref="N21:Z21" si="2">$B$3*(N17*N15*N17/2+($B$8+$B$12)*N17)</f>
        <v>7.4093213424999993</v>
      </c>
      <c r="O21">
        <f t="shared" si="2"/>
        <v>6.6858242500000005</v>
      </c>
      <c r="P21">
        <f t="shared" si="2"/>
        <v>5.9723116424999994</v>
      </c>
      <c r="Q21">
        <f t="shared" si="2"/>
        <v>5.2687835200000004</v>
      </c>
      <c r="R21">
        <f t="shared" si="2"/>
        <v>4.5752398825</v>
      </c>
      <c r="S21">
        <f t="shared" si="2"/>
        <v>3.8916807300000009</v>
      </c>
      <c r="T21">
        <f t="shared" si="2"/>
        <v>3.2181060625000013</v>
      </c>
      <c r="U21">
        <f t="shared" si="2"/>
        <v>2.5545158800000007</v>
      </c>
      <c r="V21">
        <f t="shared" si="2"/>
        <v>1.9009101824999997</v>
      </c>
      <c r="W21">
        <f t="shared" si="2"/>
        <v>1.2572889699999992</v>
      </c>
      <c r="X21">
        <f t="shared" si="2"/>
        <v>7.7224480000000009</v>
      </c>
      <c r="Y21">
        <f t="shared" si="2"/>
        <v>6.6858242500000005</v>
      </c>
      <c r="Z21">
        <f t="shared" si="2"/>
        <v>7.0980285700000003</v>
      </c>
    </row>
    <row r="22" spans="1:26" x14ac:dyDescent="0.3">
      <c r="L22" t="s">
        <v>34</v>
      </c>
      <c r="M22">
        <f>$B$3*(M16*M15*M16/2+$B$6*M16+M17*M15*(M16+M17/2)+($B$8+$B$12)*(M17+M16))</f>
        <v>17.532136999999999</v>
      </c>
      <c r="N22">
        <f t="shared" ref="N22:Z22" si="3">$B$3*(N16*N15*N16/2+$B$6*N16+N17*N15*(N16+N17/2)+($B$8+$B$12)*(N17+N16))</f>
        <v>17.927392000000001</v>
      </c>
      <c r="O22">
        <f t="shared" si="3"/>
        <v>18.322647</v>
      </c>
      <c r="P22">
        <f t="shared" si="3"/>
        <v>18.717901999999999</v>
      </c>
      <c r="Q22">
        <f t="shared" si="3"/>
        <v>19.113157000000001</v>
      </c>
      <c r="R22">
        <f t="shared" si="3"/>
        <v>19.508412</v>
      </c>
      <c r="S22">
        <f t="shared" si="3"/>
        <v>19.903666999999995</v>
      </c>
      <c r="T22">
        <f t="shared" si="3"/>
        <v>20.298922000000001</v>
      </c>
      <c r="U22">
        <f t="shared" si="3"/>
        <v>20.694177</v>
      </c>
      <c r="V22">
        <f t="shared" si="3"/>
        <v>21.089431999999999</v>
      </c>
      <c r="W22">
        <f t="shared" si="3"/>
        <v>21.484687000000001</v>
      </c>
      <c r="X22">
        <f t="shared" si="3"/>
        <v>19.501906250000001</v>
      </c>
      <c r="Y22">
        <f t="shared" si="3"/>
        <v>20.066556250000001</v>
      </c>
      <c r="Z22">
        <f t="shared" si="3"/>
        <v>18.79190552</v>
      </c>
    </row>
    <row r="23" spans="1:26" x14ac:dyDescent="0.3">
      <c r="A23" t="s">
        <v>5</v>
      </c>
      <c r="B23">
        <f>B16/B21</f>
        <v>1.0491884218971796</v>
      </c>
      <c r="C23" t="s">
        <v>7</v>
      </c>
      <c r="D23" t="s">
        <v>6</v>
      </c>
    </row>
    <row r="24" spans="1:26" x14ac:dyDescent="0.3">
      <c r="M24">
        <f>M21/$B$16</f>
        <v>0.23949420352941175</v>
      </c>
      <c r="N24">
        <f t="shared" ref="N24:V24" si="4">N21/$B$16</f>
        <v>0.21792121595588232</v>
      </c>
      <c r="O24">
        <f t="shared" si="4"/>
        <v>0.19664188970588237</v>
      </c>
      <c r="P24">
        <f t="shared" si="4"/>
        <v>0.17565622477941176</v>
      </c>
      <c r="Q24">
        <f t="shared" si="4"/>
        <v>0.1549642211764706</v>
      </c>
      <c r="R24">
        <f t="shared" si="4"/>
        <v>0.13456587889705882</v>
      </c>
      <c r="S24">
        <f t="shared" si="4"/>
        <v>0.1144611979411765</v>
      </c>
      <c r="T24">
        <f t="shared" si="4"/>
        <v>9.4650178308823565E-2</v>
      </c>
      <c r="U24">
        <f t="shared" si="4"/>
        <v>7.5132820000000017E-2</v>
      </c>
      <c r="V24">
        <f t="shared" si="4"/>
        <v>5.5909123014705873E-2</v>
      </c>
      <c r="W24">
        <f>W21/$B$16</f>
        <v>3.6979087352941149E-2</v>
      </c>
      <c r="X24">
        <f>X21/$B$16</f>
        <v>0.2271308235294118</v>
      </c>
      <c r="Y24">
        <f>Y21/$B$16</f>
        <v>0.19664188970588237</v>
      </c>
      <c r="Z24">
        <f>Z21/$B$16</f>
        <v>0.20876554617647058</v>
      </c>
    </row>
    <row r="25" spans="1:26" x14ac:dyDescent="0.3">
      <c r="A25" t="s">
        <v>4</v>
      </c>
      <c r="B25" s="1">
        <v>0.3</v>
      </c>
      <c r="C25" t="s">
        <v>7</v>
      </c>
      <c r="D25" t="str">
        <f>_xlfn.CONCAT("Эту ячейку можно менять, но нельзя делать больше ",ROUND(B23,3))</f>
        <v>Эту ячейку можно менять, но нельзя делать больше 1.049</v>
      </c>
      <c r="M25">
        <f>M22/$B$14</f>
        <v>0.34376739215686269</v>
      </c>
      <c r="N25">
        <f t="shared" ref="N25:Z25" si="5">N22/$B$14</f>
        <v>0.35151749019607847</v>
      </c>
      <c r="O25">
        <f t="shared" si="5"/>
        <v>0.35926758823529409</v>
      </c>
      <c r="P25">
        <f t="shared" si="5"/>
        <v>0.36701768627450976</v>
      </c>
      <c r="Q25">
        <f t="shared" si="5"/>
        <v>0.37476778431372554</v>
      </c>
      <c r="R25">
        <f t="shared" si="5"/>
        <v>0.38251788235294115</v>
      </c>
      <c r="S25">
        <f t="shared" si="5"/>
        <v>0.39026798039215677</v>
      </c>
      <c r="T25">
        <f t="shared" si="5"/>
        <v>0.39801807843137255</v>
      </c>
      <c r="U25">
        <f t="shared" si="5"/>
        <v>0.40576817647058822</v>
      </c>
      <c r="V25">
        <f t="shared" si="5"/>
        <v>0.41351827450980388</v>
      </c>
      <c r="W25">
        <f t="shared" si="5"/>
        <v>0.42126837254901961</v>
      </c>
      <c r="X25">
        <f t="shared" si="5"/>
        <v>0.38239031862745099</v>
      </c>
      <c r="Y25">
        <f t="shared" si="5"/>
        <v>0.393461887254902</v>
      </c>
      <c r="Z25">
        <f t="shared" si="5"/>
        <v>0.36846873568627453</v>
      </c>
    </row>
    <row r="26" spans="1:26" x14ac:dyDescent="0.3">
      <c r="M26" s="2">
        <f>M24/M25</f>
        <v>0.6966751617329936</v>
      </c>
      <c r="N26" s="2">
        <f t="shared" ref="N26:W26" si="6">N24/N25</f>
        <v>0.61994416219325132</v>
      </c>
      <c r="O26" s="2">
        <f t="shared" si="6"/>
        <v>0.54734102419808672</v>
      </c>
      <c r="P26" s="2">
        <f t="shared" si="6"/>
        <v>0.47860425082629454</v>
      </c>
      <c r="Q26" s="2">
        <f t="shared" si="6"/>
        <v>0.41349397590361442</v>
      </c>
      <c r="R26" s="2">
        <f t="shared" si="6"/>
        <v>0.35178977272727274</v>
      </c>
      <c r="S26" s="2">
        <f t="shared" si="6"/>
        <v>0.29328872388188582</v>
      </c>
      <c r="T26" s="2">
        <f t="shared" si="6"/>
        <v>0.23780371655943117</v>
      </c>
      <c r="U26" s="2">
        <f t="shared" si="6"/>
        <v>0.18516193323368216</v>
      </c>
      <c r="V26" s="2">
        <f t="shared" si="6"/>
        <v>0.13520351205997391</v>
      </c>
      <c r="W26" s="2">
        <f t="shared" si="6"/>
        <v>8.778035514317703E-2</v>
      </c>
      <c r="X26">
        <f>X24/X25</f>
        <v>0.59397639653815903</v>
      </c>
    </row>
    <row r="27" spans="1:26" x14ac:dyDescent="0.3">
      <c r="A27" t="s">
        <v>25</v>
      </c>
      <c r="B27">
        <f>(B15-B21*B25)/(B21+(B9+B10)*B3)</f>
        <v>0.68909552268705543</v>
      </c>
      <c r="C27" t="s">
        <v>7</v>
      </c>
    </row>
    <row r="29" spans="1:26" x14ac:dyDescent="0.3">
      <c r="A29" t="s">
        <v>26</v>
      </c>
      <c r="B29" s="1">
        <v>0.4</v>
      </c>
      <c r="C29" t="s">
        <v>7</v>
      </c>
    </row>
    <row r="31" spans="1:26" x14ac:dyDescent="0.3">
      <c r="A31" t="s">
        <v>27</v>
      </c>
      <c r="B31">
        <f>B3*(B8*B25+B25*F16*B25+B12*B25)</f>
        <v>6.0363540000000002</v>
      </c>
      <c r="C31" t="s">
        <v>3</v>
      </c>
    </row>
    <row r="32" spans="1:26" x14ac:dyDescent="0.3">
      <c r="A32" t="s">
        <v>28</v>
      </c>
      <c r="B32">
        <f>B3*((B8+B12+B25*F16)*(B25+B29)+B6*B29+B29*F16*B29)</f>
        <v>19.906122</v>
      </c>
      <c r="C3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6-осевой робот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Горелов</dc:creator>
  <cp:lastModifiedBy>Andrey Petrov</cp:lastModifiedBy>
  <dcterms:created xsi:type="dcterms:W3CDTF">2022-06-18T18:05:57Z</dcterms:created>
  <dcterms:modified xsi:type="dcterms:W3CDTF">2026-03-18T12:38:59Z</dcterms:modified>
</cp:coreProperties>
</file>