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tro\Desktop\Robot\"/>
    </mc:Choice>
  </mc:AlternateContent>
  <xr:revisionPtr revIDLastSave="0" documentId="13_ncr:1_{A3FE2588-7143-4690-A5BA-4B16CFF1C4F3}" xr6:coauthVersionLast="47" xr6:coauthVersionMax="47" xr10:uidLastSave="{00000000-0000-0000-0000-000000000000}"/>
  <bookViews>
    <workbookView xWindow="11424" yWindow="0" windowWidth="11712" windowHeight="13776" activeTab="1" xr2:uid="{9BE34861-927F-4D99-82A2-94C96673D24D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J1" i="1"/>
  <c r="I6" i="1"/>
  <c r="J6" i="1"/>
  <c r="I4" i="1"/>
  <c r="J4" i="1"/>
  <c r="I2" i="1"/>
  <c r="J2" i="1"/>
  <c r="I3" i="1"/>
  <c r="J3" i="1"/>
  <c r="I5" i="1"/>
  <c r="J5" i="1"/>
  <c r="I7" i="1"/>
  <c r="J7" i="1"/>
  <c r="I8" i="1"/>
  <c r="J8" i="1"/>
  <c r="I9" i="1"/>
  <c r="J9" i="1"/>
  <c r="H6" i="1"/>
  <c r="H4" i="1"/>
  <c r="H2" i="1"/>
  <c r="H3" i="1"/>
  <c r="H5" i="1"/>
  <c r="H7" i="1"/>
  <c r="H8" i="1"/>
  <c r="H9" i="1"/>
  <c r="H1" i="1"/>
  <c r="S17" i="1" l="1" a="1"/>
  <c r="S17" i="1" s="1"/>
  <c r="S11" i="1" a="1"/>
  <c r="S11" i="1" s="1"/>
  <c r="S4" i="1" a="1"/>
  <c r="L4" i="1" s="1"/>
  <c r="O4" i="1" s="1"/>
  <c r="N8" i="1" l="1"/>
  <c r="N7" i="1"/>
  <c r="Q7" i="1" s="1"/>
  <c r="N5" i="1"/>
  <c r="Q5" i="1" s="1"/>
  <c r="N3" i="1"/>
  <c r="Q3" i="1" s="1"/>
  <c r="N2" i="1"/>
  <c r="Q2" i="1" s="1"/>
  <c r="N4" i="1"/>
  <c r="Q4" i="1" s="1"/>
  <c r="N6" i="1"/>
  <c r="Q6" i="1" s="1"/>
  <c r="N9" i="1"/>
  <c r="Q9" i="1" s="1"/>
  <c r="M6" i="1"/>
  <c r="P6" i="1" s="1"/>
  <c r="M4" i="1"/>
  <c r="P4" i="1" s="1"/>
  <c r="M2" i="1"/>
  <c r="P2" i="1" s="1"/>
  <c r="M3" i="1"/>
  <c r="P3" i="1" s="1"/>
  <c r="M5" i="1"/>
  <c r="P5" i="1" s="1"/>
  <c r="M7" i="1"/>
  <c r="P7" i="1" s="1"/>
  <c r="M8" i="1"/>
  <c r="P8" i="1" s="1"/>
  <c r="M9" i="1"/>
  <c r="P9" i="1" s="1"/>
  <c r="S4" i="1"/>
  <c r="L2" i="1"/>
  <c r="O2" i="1" s="1"/>
  <c r="L3" i="1"/>
  <c r="O3" i="1" s="1"/>
  <c r="L5" i="1"/>
  <c r="O5" i="1" s="1"/>
  <c r="L7" i="1"/>
  <c r="O7" i="1" s="1"/>
  <c r="L8" i="1"/>
  <c r="O8" i="1" s="1"/>
  <c r="L9" i="1"/>
  <c r="O9" i="1" s="1"/>
  <c r="L6" i="1"/>
  <c r="O6" i="1" s="1"/>
  <c r="Q8" i="1" l="1"/>
  <c r="R8" i="1" s="1"/>
  <c r="R5" i="1"/>
  <c r="R3" i="1"/>
  <c r="R2" i="1"/>
  <c r="R9" i="1"/>
  <c r="R4" i="1"/>
  <c r="R6" i="1"/>
  <c r="R7" i="1"/>
  <c r="O14" i="1" l="1"/>
  <c r="O13" i="1" a="1"/>
  <c r="O13" i="1" s="1"/>
  <c r="O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<sst xmlns="http://schemas.openxmlformats.org/spreadsheetml/2006/main" count="33" uniqueCount="33">
  <si>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Point</t>
  </si>
  <si>
    <t>X_theory</t>
  </si>
  <si>
    <t>Y_theory</t>
  </si>
  <si>
    <t>Z_theory</t>
  </si>
  <si>
    <t>X_real</t>
  </si>
  <si>
    <t>Y_real</t>
  </si>
  <si>
    <t>Z_real</t>
  </si>
  <si>
    <t>X_pred</t>
  </si>
  <si>
    <t>Y_pred</t>
  </si>
  <si>
    <t>Z_pred</t>
  </si>
  <si>
    <t>X_error</t>
  </si>
  <si>
    <t>Y_error</t>
  </si>
  <si>
    <t>Z_error</t>
  </si>
  <si>
    <t>RMSE:</t>
  </si>
  <si>
    <t>MAX:</t>
  </si>
  <si>
    <t>MEAN:</t>
  </si>
  <si>
    <t>Radial_error</t>
  </si>
  <si>
    <t>Sum of X_theory</t>
  </si>
  <si>
    <t>Sum of X_theory2</t>
  </si>
  <si>
    <t>Sum of Y_theory2</t>
  </si>
  <si>
    <t>Sum of Z_theory2</t>
  </si>
  <si>
    <t>t1</t>
  </si>
  <si>
    <t>t2</t>
  </si>
  <si>
    <t>t3</t>
  </si>
  <si>
    <t>a11</t>
  </si>
  <si>
    <t>a12</t>
  </si>
  <si>
    <t>a13</t>
  </si>
  <si>
    <t>a21</t>
  </si>
  <si>
    <t>a22</t>
  </si>
  <si>
    <t>a23</t>
  </si>
  <si>
    <t>a31</t>
  </si>
  <si>
    <t>a32</t>
  </si>
  <si>
    <t>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</si>
</sst>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y Petrov" refreshedDate="46104.891829976848" createdVersion="8" refreshedVersion="8" minRefreshableVersion="3" recordCount="8" xr:uid="{A20C2501-2C90-4080-9D87-D3CAD0F8BC92}">
  <cacheSource type="worksheet">
    <worksheetSource ref="A1:R9" sheet="Sheet1"/>
  </cacheSource>
  <cacheFields count="18">
    <cacheField name="Point" numFmtId="0">
      <sharedItems containsSemiMixedTypes="0" containsString="0" containsNumber="1" containsInteger="1" minValue="1" maxValue="8"/>
    </cacheField>
    <cacheField name="X_theory" numFmtId="0">
      <sharedItems containsSemiMixedTypes="0" containsString="0" containsNumber="1" minValue="0" maxValue="170"/>
    </cacheField>
    <cacheField name="Y_theory" numFmtId="0">
      <sharedItems containsSemiMixedTypes="0" containsString="0" containsNumber="1" minValue="0" maxValue="210"/>
    </cacheField>
    <cacheField name="Z_theory" numFmtId="0">
      <sharedItems containsSemiMixedTypes="0" containsString="0" containsNumber="1" containsInteger="1" minValue="0" maxValue="75"/>
    </cacheField>
    <cacheField name="X_real" numFmtId="0">
      <sharedItems containsSemiMixedTypes="0" containsString="0" containsNumber="1" minValue="-24" maxValue="149"/>
    </cacheField>
    <cacheField name="Y_real" numFmtId="0">
      <sharedItems containsSemiMixedTypes="0" containsString="0" containsNumber="1" minValue="541" maxValue="742"/>
    </cacheField>
    <cacheField name="Z_real" numFmtId="0">
      <sharedItems containsSemiMixedTypes="0" containsString="0" containsNumber="1" minValue="254" maxValue="330"/>
    </cacheField>
    <cacheField name="X_theory2" numFmtId="0">
      <sharedItems containsSemiMixedTypes="0" containsString="0" containsNumber="1" minValue="0" maxValue="170"/>
    </cacheField>
    <cacheField name="Y_theory2" numFmtId="0">
      <sharedItems containsSemiMixedTypes="0" containsString="0" containsNumber="1" minValue="0" maxValue="210"/>
    </cacheField>
    <cacheField name="Z_theory2" numFmtId="0">
      <sharedItems containsSemiMixedTypes="0" containsString="0" containsNumber="1" containsInteger="1" minValue="0" maxValue="75"/>
    </cacheField>
    <cacheField name="1" numFmtId="0">
      <sharedItems containsSemiMixedTypes="0" containsString="0" containsNumber="1" containsInteger="1" minValue="1" maxValue="1"/>
    </cacheField>
    <cacheField name="X_pred" numFmtId="0">
      <sharedItems containsSemiMixedTypes="0" containsString="0" containsNumber="1" minValue="-24.953270637864637" maxValue="148.47326058093512"/>
    </cacheField>
    <cacheField name="Y_pred" numFmtId="0">
      <sharedItems containsSemiMixedTypes="0" containsString="0" containsNumber="1" minValue="539.97400055896003" maxValue="740.25806117772083"/>
    </cacheField>
    <cacheField name="Z_pred" numFmtId="0">
      <sharedItems containsSemiMixedTypes="0" containsString="0" containsNumber="1" minValue="253.7868763837817" maxValue="329.99768587717233"/>
    </cacheField>
    <cacheField name="X_error" numFmtId="0">
      <sharedItems containsSemiMixedTypes="0" containsString="0" containsNumber="1" minValue="-1.2626981943557176" maxValue="0.95327063786463739"/>
    </cacheField>
    <cacheField name="Y_error" numFmtId="0">
      <sharedItems containsSemiMixedTypes="0" containsString="0" containsNumber="1" minValue="-6.3065738673427632" maxValue="1.7419388222791667"/>
    </cacheField>
    <cacheField name="Z_error" numFmtId="0">
      <sharedItems containsSemiMixedTypes="0" containsString="0" containsNumber="1" minValue="-0.30329750503267405" maxValue="0.21312361621829723"/>
    </cacheField>
    <cacheField name="Radial_error" numFmtId="0">
      <sharedItems containsSemiMixedTypes="0" containsString="0" containsNumber="1" minValue="0.5223812236123796" maxValue="6.33068912932409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n v="0"/>
    <n v="0"/>
    <n v="0"/>
    <n v="-23"/>
    <n v="542"/>
    <n v="257"/>
    <n v="0"/>
    <n v="0"/>
    <n v="0"/>
    <n v="1"/>
    <n v="-21.737301805644282"/>
    <n v="540.8305672705302"/>
    <n v="256.83145343730371"/>
    <n v="-1.2626981943557176"/>
    <n v="1.1694327294698041"/>
    <n v="0.16854656269629231"/>
    <n v="1.7292737153444278"/>
  </r>
  <r>
    <n v="2"/>
    <n v="140"/>
    <n v="0"/>
    <n v="0"/>
    <n v="121"/>
    <n v="541"/>
    <n v="255.5"/>
    <n v="140"/>
    <n v="0"/>
    <n v="0"/>
    <n v="1"/>
    <n v="120.41119564440058"/>
    <n v="539.97400055896003"/>
    <n v="255.58263604333234"/>
    <n v="0.58880435559942157"/>
    <n v="1.0259994410399713"/>
    <n v="-8.2636043332342979E-2"/>
    <n v="1.1858305687765045"/>
  </r>
  <r>
    <n v="3"/>
    <n v="170"/>
    <n v="210"/>
    <n v="0"/>
    <n v="146.5"/>
    <n v="740.5"/>
    <n v="254"/>
    <n v="170"/>
    <n v="210"/>
    <n v="0"/>
    <n v="1"/>
    <n v="147.65561912290408"/>
    <n v="739.21794445652858"/>
    <n v="253.7868763837817"/>
    <n v="-1.1556191229040849"/>
    <n v="1.2820555434714151"/>
    <n v="0.21312361621829723"/>
    <n v="1.7391215166161784"/>
  </r>
  <r>
    <n v="4"/>
    <n v="0"/>
    <n v="210"/>
    <n v="0"/>
    <n v="-24"/>
    <n v="742"/>
    <n v="255"/>
    <n v="0"/>
    <n v="210"/>
    <n v="0"/>
    <n v="1"/>
    <n v="-24.953270637864637"/>
    <n v="740.25806117772083"/>
    <n v="255.30329750503267"/>
    <n v="0.95327063786463739"/>
    <n v="1.7419388222791667"/>
    <n v="-0.30329750503267405"/>
    <n v="2.0087471583395526"/>
  </r>
  <r>
    <n v="5"/>
    <n v="80"/>
    <n v="100"/>
    <n v="0"/>
    <n v="58.5"/>
    <n v="629"/>
    <n v="255.5"/>
    <n v="80"/>
    <n v="100"/>
    <n v="0"/>
    <n v="1"/>
    <n v="57.958997293324032"/>
    <n v="635.30657386734276"/>
    <n v="255.39015019681005"/>
    <n v="0.54100270667596817"/>
    <n v="-6.3065738673427632"/>
    <n v="0.10984980318994531"/>
    <n v="6.3306891293240932"/>
  </r>
  <r>
    <n v="6"/>
    <n v="167.5"/>
    <n v="37.5"/>
    <n v="25"/>
    <n v="149"/>
    <n v="577.5"/>
    <n v="280"/>
    <n v="167.5"/>
    <n v="37.5"/>
    <n v="25"/>
    <n v="1"/>
    <n v="148.47326058093512"/>
    <n v="576.12443021869058"/>
    <n v="280.20885874465108"/>
    <n v="0.52673941906488153"/>
    <n v="1.375569781309423"/>
    <n v="-0.20885874465108145"/>
    <n v="1.4877058224211157"/>
  </r>
  <r>
    <n v="7"/>
    <n v="12.5"/>
    <n v="152.5"/>
    <n v="50"/>
    <n v="-10"/>
    <n v="687.5"/>
    <n v="306"/>
    <n v="12.5"/>
    <n v="152.5"/>
    <n v="50"/>
    <n v="1"/>
    <n v="-9.9522400132296625"/>
    <n v="686.98969756937163"/>
    <n v="305.89904181191582"/>
    <n v="-4.7759986770337548E-2"/>
    <n v="0.51030243062837144"/>
    <n v="0.10095818808417789"/>
    <n v="0.5223812236123796"/>
  </r>
  <r>
    <n v="8"/>
    <n v="117.5"/>
    <n v="167.5"/>
    <n v="75"/>
    <n v="97"/>
    <n v="700.5"/>
    <n v="330"/>
    <n v="117.5"/>
    <n v="167.5"/>
    <n v="75"/>
    <n v="1"/>
    <n v="97.14373981517474"/>
    <n v="701.29872488085539"/>
    <n v="329.99768587717233"/>
    <n v="-0.14373981517474022"/>
    <n v="-0.79872488085538862"/>
    <n v="2.3141228276699621E-3"/>
    <n v="0.81155894729119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A7756-3323-4B81-A035-56828C3B99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8"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X_theory" fld="1" baseField="0" baseItem="0"/>
    <dataField name="Sum of X_theory2" fld="7" baseField="0" baseItem="0"/>
    <dataField name="Sum of Y_theory2" fld="8" baseField="0" baseItem="0"/>
    <dataField name="Sum of Z_theory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3260-0B49-4A69-98C0-A813BAA7E8AD}">
  <dimension ref="A3:D4"/>
  <sheetViews>
    <sheetView workbookViewId="0">
      <selection activeCell="A3" sqref="A3"/>
    </sheetView>
  </sheetViews>
  <sheetFormatPr defaultRowHeight="14.4" x14ac:dyDescent="0.3"/>
  <cols>
    <col min="1" max="1" width="14.21875" bestFit="1" customWidth="1"/>
    <col min="2" max="2" width="15.21875" bestFit="1" customWidth="1"/>
    <col min="3" max="4" width="15.109375" bestFit="1" customWidth="1"/>
  </cols>
  <sheetData>
    <row r="3" spans="1:4" x14ac:dyDescent="0.3">
      <c r="A3" t="s">
        <v>17</v>
      </c>
      <c r="B3" t="s">
        <v>18</v>
      </c>
      <c r="C3" t="s">
        <v>19</v>
      </c>
      <c r="D3" t="s">
        <v>20</v>
      </c>
    </row>
    <row r="4" spans="1:4" x14ac:dyDescent="0.3">
      <c r="A4">
        <v>687.5</v>
      </c>
      <c r="B4">
        <v>687.5</v>
      </c>
      <c r="C4">
        <v>877.5</v>
      </c>
      <c r="D4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6D10-DFFA-4E59-8646-3BBD3FFCEF92}">
  <dimension ref="A1:W21"/>
  <sheetViews>
    <sheetView tabSelected="1" topLeftCell="Q1" workbookViewId="0">
      <selection activeCell="V4" sqref="V4"/>
    </sheetView>
  </sheetViews>
  <sheetFormatPr defaultRowHeight="14.4" x14ac:dyDescent="0.3"/>
  <cols>
    <col min="15" max="15" width="12" bestFit="1" customWidth="1"/>
    <col min="18" max="18" width="12.4414062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tr">
        <f t="shared" ref="H1:H9" si="0">B1</f>
        <v>X_theory</v>
      </c>
      <c r="I1" s="3" t="str">
        <f t="shared" ref="I1:J1" si="1">C1</f>
        <v>Y_theory</v>
      </c>
      <c r="J1" s="3" t="str">
        <f t="shared" si="1"/>
        <v>Z_theory</v>
      </c>
      <c r="K1" s="3">
        <v>1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16</v>
      </c>
    </row>
    <row r="2" spans="1:23" x14ac:dyDescent="0.3">
      <c r="A2" s="3">
        <v>3</v>
      </c>
      <c r="B2" s="1">
        <v>0</v>
      </c>
      <c r="C2" s="1">
        <v>0</v>
      </c>
      <c r="D2" s="1">
        <v>0</v>
      </c>
      <c r="E2" s="2">
        <v>29</v>
      </c>
      <c r="F2" s="2">
        <v>558.5</v>
      </c>
      <c r="G2" s="2">
        <v>281</v>
      </c>
      <c r="H2">
        <f t="shared" si="0"/>
        <v>0</v>
      </c>
      <c r="I2">
        <f t="shared" ref="I2:J9" si="2">C2</f>
        <v>0</v>
      </c>
      <c r="J2">
        <f t="shared" si="2"/>
        <v>0</v>
      </c>
      <c r="K2">
        <v>1</v>
      </c>
      <c r="L2">
        <f t="shared" ref="L2:L9" si="3">$T$4*J2+$U$4*I2+$V$4*H2+$W$4</f>
        <v>30.205845215266024</v>
      </c>
      <c r="M2">
        <f t="shared" ref="M2:M9" si="4">$T$11*J2+$U$11*I2+$V$11*H2+$W$11</f>
        <v>559.00833027694409</v>
      </c>
      <c r="N2">
        <f t="shared" ref="N2:N9" si="5">$T$17*J2+$U$17*I2+$V$17*H2+$W$17</f>
        <v>281.2634384337332</v>
      </c>
      <c r="O2" s="4">
        <f t="shared" ref="O2:Q9" si="6">E2-L2</f>
        <v>-1.2058452152660237</v>
      </c>
      <c r="P2" s="4">
        <f t="shared" si="6"/>
        <v>-0.50833027694409338</v>
      </c>
      <c r="Q2" s="4">
        <f t="shared" si="6"/>
        <v>-0.26343843373319942</v>
      </c>
      <c r="R2" s="4">
        <f t="shared" ref="R2:R9" si="7">SQRT(O2^2+P2^2+Q2^2)</f>
        <v>1.334864098702869</v>
      </c>
    </row>
    <row r="3" spans="1:23" x14ac:dyDescent="0.3">
      <c r="A3" s="3">
        <v>4</v>
      </c>
      <c r="B3" s="1">
        <v>85</v>
      </c>
      <c r="C3" s="1">
        <v>220</v>
      </c>
      <c r="D3" s="1">
        <v>0</v>
      </c>
      <c r="E3" s="2">
        <v>107.5</v>
      </c>
      <c r="F3" s="2">
        <v>764.5</v>
      </c>
      <c r="G3" s="2">
        <v>277</v>
      </c>
      <c r="H3">
        <f t="shared" si="0"/>
        <v>85</v>
      </c>
      <c r="I3">
        <f t="shared" si="2"/>
        <v>220</v>
      </c>
      <c r="J3">
        <f t="shared" si="2"/>
        <v>0</v>
      </c>
      <c r="K3">
        <v>1</v>
      </c>
      <c r="L3">
        <f t="shared" si="3"/>
        <v>108.77751502494817</v>
      </c>
      <c r="M3">
        <f t="shared" si="4"/>
        <v>764.95048359617203</v>
      </c>
      <c r="N3">
        <f t="shared" si="5"/>
        <v>277.25429564545806</v>
      </c>
      <c r="O3" s="4">
        <f t="shared" si="6"/>
        <v>-1.2775150249481726</v>
      </c>
      <c r="P3" s="4">
        <f t="shared" si="6"/>
        <v>-0.45048359617203459</v>
      </c>
      <c r="Q3" s="4">
        <f t="shared" si="6"/>
        <v>-0.25429564545805761</v>
      </c>
      <c r="R3" s="4">
        <f t="shared" si="7"/>
        <v>1.3782765994847874</v>
      </c>
      <c r="T3" t="s">
        <v>26</v>
      </c>
      <c r="U3" t="s">
        <v>25</v>
      </c>
      <c r="V3" t="s">
        <v>24</v>
      </c>
      <c r="W3" t="s">
        <v>21</v>
      </c>
    </row>
    <row r="4" spans="1:23" x14ac:dyDescent="0.3">
      <c r="A4" s="3">
        <v>2</v>
      </c>
      <c r="B4" s="1">
        <v>45</v>
      </c>
      <c r="C4" s="1">
        <v>100</v>
      </c>
      <c r="D4" s="1">
        <v>0</v>
      </c>
      <c r="E4" s="2">
        <v>73</v>
      </c>
      <c r="F4" s="2">
        <v>653.5</v>
      </c>
      <c r="G4" s="2">
        <v>280</v>
      </c>
      <c r="H4">
        <f t="shared" si="0"/>
        <v>45</v>
      </c>
      <c r="I4">
        <f t="shared" si="2"/>
        <v>100</v>
      </c>
      <c r="J4">
        <f t="shared" si="2"/>
        <v>0</v>
      </c>
      <c r="K4">
        <v>1</v>
      </c>
      <c r="L4">
        <f t="shared" si="3"/>
        <v>72.173690584050405</v>
      </c>
      <c r="M4">
        <f t="shared" si="4"/>
        <v>652.56476282435187</v>
      </c>
      <c r="N4">
        <f t="shared" si="5"/>
        <v>279.38078484044672</v>
      </c>
      <c r="O4" s="4">
        <f t="shared" si="6"/>
        <v>0.82630941594959495</v>
      </c>
      <c r="P4" s="4">
        <f t="shared" si="6"/>
        <v>0.93523717564812614</v>
      </c>
      <c r="Q4" s="4">
        <f t="shared" si="6"/>
        <v>0.61921515955327777</v>
      </c>
      <c r="R4" s="4">
        <f t="shared" si="7"/>
        <v>1.3931558561129604</v>
      </c>
      <c r="S4" cm="1">
        <f t="array" ref="S4:W8">LINEST(E2:E9,H2:K9,TRUE,TRUE)</f>
        <v>0</v>
      </c>
      <c r="T4" s="5">
        <v>2.2948938075812567E-2</v>
      </c>
      <c r="U4" s="5">
        <v>-2.2529796364982889E-2</v>
      </c>
      <c r="V4" s="5">
        <v>0.98268500011739279</v>
      </c>
      <c r="W4" s="5">
        <v>30.205845215266024</v>
      </c>
    </row>
    <row r="5" spans="1:23" x14ac:dyDescent="0.3">
      <c r="A5" s="3">
        <v>5</v>
      </c>
      <c r="B5" s="1">
        <v>0</v>
      </c>
      <c r="C5" s="1">
        <v>220</v>
      </c>
      <c r="D5" s="1">
        <v>0</v>
      </c>
      <c r="E5" s="2">
        <v>26</v>
      </c>
      <c r="F5" s="2">
        <v>765</v>
      </c>
      <c r="G5" s="2">
        <v>278</v>
      </c>
      <c r="H5">
        <f t="shared" si="0"/>
        <v>0</v>
      </c>
      <c r="I5">
        <f t="shared" si="2"/>
        <v>220</v>
      </c>
      <c r="J5">
        <f t="shared" si="2"/>
        <v>0</v>
      </c>
      <c r="K5">
        <v>1</v>
      </c>
      <c r="L5">
        <f t="shared" si="3"/>
        <v>25.249290014969787</v>
      </c>
      <c r="M5">
        <f t="shared" si="4"/>
        <v>765.66692257968043</v>
      </c>
      <c r="N5">
        <f t="shared" si="5"/>
        <v>278.05994456982859</v>
      </c>
      <c r="O5" s="4">
        <f t="shared" si="6"/>
        <v>0.75070998503021258</v>
      </c>
      <c r="P5" s="4">
        <f t="shared" si="6"/>
        <v>-0.66692257968043123</v>
      </c>
      <c r="Q5" s="4">
        <f t="shared" si="6"/>
        <v>-5.9944569828587646E-2</v>
      </c>
      <c r="R5" s="4">
        <f t="shared" si="7"/>
        <v>1.0059545518380031</v>
      </c>
      <c r="S5">
        <v>0</v>
      </c>
      <c r="T5">
        <v>1.6686739409446299E-2</v>
      </c>
      <c r="U5">
        <v>5.857206152088297E-3</v>
      </c>
      <c r="V5">
        <v>1.4196725547058222E-2</v>
      </c>
      <c r="W5">
        <v>1.0729789850465514</v>
      </c>
    </row>
    <row r="6" spans="1:23" x14ac:dyDescent="0.3">
      <c r="A6" s="3">
        <v>1</v>
      </c>
      <c r="B6" s="1">
        <v>85</v>
      </c>
      <c r="C6" s="1">
        <v>20</v>
      </c>
      <c r="D6" s="1">
        <v>0</v>
      </c>
      <c r="E6" s="2">
        <v>114</v>
      </c>
      <c r="F6" s="2">
        <v>577</v>
      </c>
      <c r="G6" s="2">
        <v>280</v>
      </c>
      <c r="H6">
        <f t="shared" si="0"/>
        <v>85</v>
      </c>
      <c r="I6">
        <f t="shared" si="2"/>
        <v>20</v>
      </c>
      <c r="J6">
        <f t="shared" si="2"/>
        <v>0</v>
      </c>
      <c r="K6">
        <v>1</v>
      </c>
      <c r="L6">
        <f t="shared" si="3"/>
        <v>113.28347429794475</v>
      </c>
      <c r="M6">
        <f t="shared" si="4"/>
        <v>577.07903604822991</v>
      </c>
      <c r="N6">
        <f t="shared" si="5"/>
        <v>280.16656279446227</v>
      </c>
      <c r="O6" s="4">
        <f t="shared" si="6"/>
        <v>0.71652570205525024</v>
      </c>
      <c r="P6" s="4">
        <f t="shared" si="6"/>
        <v>-7.9036048229909284E-2</v>
      </c>
      <c r="Q6" s="4">
        <f t="shared" si="6"/>
        <v>-0.16656279446226563</v>
      </c>
      <c r="R6" s="4">
        <f t="shared" si="7"/>
        <v>0.73986413828800268</v>
      </c>
      <c r="S6">
        <v>0.99938496144341848</v>
      </c>
      <c r="T6">
        <v>1.2798142662105672</v>
      </c>
      <c r="U6" t="e">
        <v>#N/A</v>
      </c>
      <c r="V6" t="e">
        <v>#N/A</v>
      </c>
      <c r="W6" t="e">
        <v>#N/A</v>
      </c>
    </row>
    <row r="7" spans="1:23" x14ac:dyDescent="0.3">
      <c r="A7" s="3">
        <v>6</v>
      </c>
      <c r="B7" s="1">
        <v>37.5</v>
      </c>
      <c r="C7" s="1">
        <v>127.5</v>
      </c>
      <c r="D7" s="1">
        <v>25</v>
      </c>
      <c r="E7" s="2">
        <v>65</v>
      </c>
      <c r="F7" s="2">
        <v>680</v>
      </c>
      <c r="G7" s="2">
        <v>305</v>
      </c>
      <c r="H7">
        <f t="shared" si="0"/>
        <v>37.5</v>
      </c>
      <c r="I7">
        <f t="shared" si="2"/>
        <v>127.5</v>
      </c>
      <c r="J7">
        <f t="shared" si="2"/>
        <v>25</v>
      </c>
      <c r="K7">
        <v>1</v>
      </c>
      <c r="L7">
        <f t="shared" si="3"/>
        <v>64.757707135028255</v>
      </c>
      <c r="M7">
        <f t="shared" si="4"/>
        <v>678.47462330207281</v>
      </c>
      <c r="N7">
        <f t="shared" si="5"/>
        <v>304.85399838424524</v>
      </c>
      <c r="O7" s="4">
        <f t="shared" si="6"/>
        <v>0.24229286497174485</v>
      </c>
      <c r="P7" s="4">
        <f t="shared" si="6"/>
        <v>1.5253766979271859</v>
      </c>
      <c r="Q7" s="4">
        <f t="shared" si="6"/>
        <v>0.14600161575475568</v>
      </c>
      <c r="R7" s="4">
        <f t="shared" si="7"/>
        <v>1.5513853082965756</v>
      </c>
      <c r="S7">
        <v>1218.6857442704857</v>
      </c>
      <c r="T7">
        <v>3</v>
      </c>
      <c r="U7" t="e">
        <v>#N/A</v>
      </c>
      <c r="V7" t="e">
        <v>#N/A</v>
      </c>
      <c r="W7" t="e">
        <v>#N/A</v>
      </c>
    </row>
    <row r="8" spans="1:23" x14ac:dyDescent="0.3">
      <c r="A8" s="3">
        <v>7</v>
      </c>
      <c r="B8" s="1">
        <v>72.5</v>
      </c>
      <c r="C8" s="1">
        <v>52.5</v>
      </c>
      <c r="D8" s="1">
        <v>50</v>
      </c>
      <c r="E8" s="2">
        <v>101.5</v>
      </c>
      <c r="F8" s="2">
        <v>607</v>
      </c>
      <c r="G8" s="2">
        <v>331.5</v>
      </c>
      <c r="H8">
        <f t="shared" si="0"/>
        <v>72.5</v>
      </c>
      <c r="I8">
        <f t="shared" si="2"/>
        <v>52.5</v>
      </c>
      <c r="J8">
        <f t="shared" si="2"/>
        <v>50</v>
      </c>
      <c r="K8">
        <v>1</v>
      </c>
      <c r="L8">
        <f t="shared" si="3"/>
        <v>101.41514031840603</v>
      </c>
      <c r="M8">
        <f t="shared" si="4"/>
        <v>607.74214741971934</v>
      </c>
      <c r="N8">
        <f t="shared" si="5"/>
        <v>331.41692437972313</v>
      </c>
      <c r="O8" s="4">
        <f t="shared" si="6"/>
        <v>8.4859681593968617E-2</v>
      </c>
      <c r="P8" s="4">
        <f t="shared" si="6"/>
        <v>-0.74214741971934473</v>
      </c>
      <c r="Q8" s="4">
        <f t="shared" si="6"/>
        <v>8.3075620276872542E-2</v>
      </c>
      <c r="R8" s="4">
        <f t="shared" si="7"/>
        <v>0.75158866199584073</v>
      </c>
      <c r="S8">
        <v>7984.4612263320114</v>
      </c>
      <c r="T8">
        <v>4.9137736679882771</v>
      </c>
      <c r="U8" t="e">
        <v>#N/A</v>
      </c>
      <c r="V8" t="e">
        <v>#N/A</v>
      </c>
      <c r="W8" t="e">
        <v>#N/A</v>
      </c>
    </row>
    <row r="9" spans="1:23" x14ac:dyDescent="0.3">
      <c r="A9" s="3">
        <v>8</v>
      </c>
      <c r="B9" s="1">
        <v>34.5</v>
      </c>
      <c r="C9" s="1">
        <v>119.5</v>
      </c>
      <c r="D9" s="1">
        <v>75</v>
      </c>
      <c r="E9" s="2">
        <v>63</v>
      </c>
      <c r="F9" s="2">
        <v>671</v>
      </c>
      <c r="G9" s="2">
        <v>356.5</v>
      </c>
      <c r="H9">
        <f t="shared" si="0"/>
        <v>34.5</v>
      </c>
      <c r="I9">
        <f t="shared" si="2"/>
        <v>119.5</v>
      </c>
      <c r="J9">
        <f t="shared" si="2"/>
        <v>75</v>
      </c>
      <c r="K9">
        <v>1</v>
      </c>
      <c r="L9">
        <f t="shared" si="3"/>
        <v>63.137337409386568</v>
      </c>
      <c r="M9">
        <f t="shared" si="4"/>
        <v>671.0136939528295</v>
      </c>
      <c r="N9">
        <f t="shared" si="5"/>
        <v>356.6040509521028</v>
      </c>
      <c r="O9" s="4">
        <f t="shared" si="6"/>
        <v>-0.1373374093865678</v>
      </c>
      <c r="P9" s="4">
        <f t="shared" si="6"/>
        <v>-1.3693952829498812E-2</v>
      </c>
      <c r="Q9" s="4">
        <f t="shared" si="6"/>
        <v>-0.10405095210279569</v>
      </c>
      <c r="R9" s="4">
        <f t="shared" si="7"/>
        <v>0.17284585327571078</v>
      </c>
    </row>
    <row r="10" spans="1:23" x14ac:dyDescent="0.3">
      <c r="T10" t="s">
        <v>29</v>
      </c>
      <c r="U10" t="s">
        <v>28</v>
      </c>
      <c r="V10" t="s">
        <v>27</v>
      </c>
      <c r="W10" t="s">
        <v>22</v>
      </c>
    </row>
    <row r="11" spans="1:23" x14ac:dyDescent="0.3">
      <c r="S11" cm="1">
        <f t="array" ref="S11:W15">LINEST(F2:F9,H2:K9,TRUE,TRUE)</f>
        <v>0</v>
      </c>
      <c r="T11" s="5">
        <v>5.7284941806897121E-4</v>
      </c>
      <c r="U11" s="5">
        <v>0.93935723773971036</v>
      </c>
      <c r="V11" s="5">
        <v>-8.4286939236281628E-3</v>
      </c>
      <c r="W11" s="5">
        <v>559.00833027694409</v>
      </c>
    </row>
    <row r="12" spans="1:23" x14ac:dyDescent="0.3">
      <c r="N12" t="s">
        <v>13</v>
      </c>
      <c r="O12">
        <f>SQRT(SUMSQ(O2:Q9)/COUNT(O2:Q9))</f>
        <v>0.65138611406231961</v>
      </c>
      <c r="S12">
        <v>0</v>
      </c>
      <c r="T12">
        <v>1.5453506338089151E-2</v>
      </c>
      <c r="U12">
        <v>5.4243294734710986E-3</v>
      </c>
      <c r="V12">
        <v>1.3147516889811381E-2</v>
      </c>
      <c r="W12">
        <v>0.99368049917929102</v>
      </c>
    </row>
    <row r="13" spans="1:23" x14ac:dyDescent="0.3">
      <c r="N13" t="s">
        <v>14</v>
      </c>
      <c r="O13" cm="1">
        <f t="array" ref="O13">MAX(ABS(O2:Q9))</f>
        <v>1.5253766979271859</v>
      </c>
      <c r="S13">
        <v>0.99990085665663209</v>
      </c>
      <c r="T13">
        <v>1.1852296239051878</v>
      </c>
      <c r="U13" t="e">
        <v>#N/A</v>
      </c>
      <c r="V13" t="e">
        <v>#N/A</v>
      </c>
      <c r="W13" t="e">
        <v>#N/A</v>
      </c>
    </row>
    <row r="14" spans="1:23" x14ac:dyDescent="0.3">
      <c r="N14" t="s">
        <v>15</v>
      </c>
      <c r="O14">
        <f>AVERAGE(O2:Q9)</f>
        <v>2.9605947323337506E-16</v>
      </c>
      <c r="S14">
        <v>7564.0543985829836</v>
      </c>
      <c r="T14">
        <v>3</v>
      </c>
      <c r="U14" t="e">
        <v>#N/A</v>
      </c>
      <c r="V14" t="e">
        <v>#N/A</v>
      </c>
      <c r="W14" t="e">
        <v>#N/A</v>
      </c>
    </row>
    <row r="15" spans="1:23" x14ac:dyDescent="0.3">
      <c r="S15">
        <v>42503.004442215853</v>
      </c>
      <c r="T15">
        <v>4.2143077841472998</v>
      </c>
      <c r="U15" t="e">
        <v>#N/A</v>
      </c>
      <c r="V15" t="e">
        <v>#N/A</v>
      </c>
      <c r="W15" t="e">
        <v>#N/A</v>
      </c>
    </row>
    <row r="16" spans="1:23" x14ac:dyDescent="0.3">
      <c r="T16" t="s">
        <v>32</v>
      </c>
      <c r="U16" t="s">
        <v>31</v>
      </c>
      <c r="V16" t="s">
        <v>30</v>
      </c>
      <c r="W16" t="s">
        <v>23</v>
      </c>
    </row>
    <row r="17" spans="19:23" x14ac:dyDescent="0.3">
      <c r="S17" cm="1">
        <f t="array" ref="S17:W21">LINEST(G2:G9,H2:K9,TRUE,TRUE)</f>
        <v>0</v>
      </c>
      <c r="T17" s="5">
        <v>1.0321025442795684</v>
      </c>
      <c r="U17" s="5">
        <v>-1.4561335745020948E-2</v>
      </c>
      <c r="V17" s="5">
        <v>-9.4782226396533231E-3</v>
      </c>
      <c r="W17" s="5">
        <v>281.2634384337332</v>
      </c>
    </row>
    <row r="18" spans="19:23" x14ac:dyDescent="0.3">
      <c r="S18">
        <v>0</v>
      </c>
      <c r="T18">
        <v>3.5102160843173426E-3</v>
      </c>
      <c r="U18">
        <v>1.2321196334248415E-3</v>
      </c>
      <c r="V18">
        <v>2.9864177259046839E-3</v>
      </c>
      <c r="W18">
        <v>0.22571144661807113</v>
      </c>
    </row>
    <row r="19" spans="19:23" x14ac:dyDescent="0.3">
      <c r="S19">
        <v>0.9999658562469933</v>
      </c>
      <c r="T19">
        <v>0.26922123681322579</v>
      </c>
      <c r="U19" t="e">
        <v>#N/A</v>
      </c>
      <c r="V19" t="e">
        <v>#N/A</v>
      </c>
      <c r="W19" t="e">
        <v>#N/A</v>
      </c>
    </row>
    <row r="20" spans="19:23" x14ac:dyDescent="0.3">
      <c r="S20">
        <v>21965.20083891075</v>
      </c>
      <c r="T20">
        <v>3</v>
      </c>
      <c r="U20" t="e">
        <v>#N/A</v>
      </c>
      <c r="V20" t="e">
        <v>#N/A</v>
      </c>
      <c r="W20" t="e">
        <v>#N/A</v>
      </c>
    </row>
    <row r="21" spans="19:23" x14ac:dyDescent="0.3">
      <c r="S21">
        <v>6368.1575597769461</v>
      </c>
      <c r="T21">
        <v>0.21744022305372904</v>
      </c>
      <c r="U21" t="e">
        <v>#N/A</v>
      </c>
      <c r="V21" t="e">
        <v>#N/A</v>
      </c>
      <c r="W21" t="e">
        <v>#N/A</v>
      </c>
    </row>
  </sheetData>
  <sortState xmlns:xlrd2="http://schemas.microsoft.com/office/spreadsheetml/2017/richdata2" ref="A2:R9">
    <sortCondition ref="G2:G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Petrov</dc:creator>
  <cp:lastModifiedBy>Andrey Petrov</cp:lastModifiedBy>
  <dcterms:created xsi:type="dcterms:W3CDTF">2026-03-23T17:50:06Z</dcterms:created>
  <dcterms:modified xsi:type="dcterms:W3CDTF">2026-03-25T18:59:57Z</dcterms:modified>
</cp:coreProperties>
</file>