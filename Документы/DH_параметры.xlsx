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etro\Desktop\Robot\Inverse Kinematics\"/>
    </mc:Choice>
  </mc:AlternateContent>
  <xr:revisionPtr revIDLastSave="0" documentId="13_ncr:1_{E354EDAC-879F-44B3-998B-86325FB796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I49" i="1" s="1"/>
  <c r="E49" i="1"/>
  <c r="H48" i="1"/>
  <c r="I48" i="1" s="1"/>
  <c r="E48" i="1"/>
  <c r="H47" i="1"/>
  <c r="I47" i="1" s="1"/>
  <c r="E47" i="1"/>
  <c r="H46" i="1"/>
  <c r="I46" i="1" s="1"/>
  <c r="E46" i="1"/>
  <c r="H45" i="1"/>
  <c r="I45" i="1" s="1"/>
  <c r="E45" i="1"/>
  <c r="H44" i="1"/>
  <c r="I44" i="1" s="1"/>
  <c r="E44" i="1"/>
  <c r="O35" i="1"/>
  <c r="N35" i="1" s="1" a="1"/>
  <c r="N35" i="1" s="1"/>
  <c r="O30" i="1"/>
  <c r="O25" i="1"/>
  <c r="O20" i="1"/>
  <c r="N22" i="1" s="1" a="1"/>
  <c r="N22" i="1" s="1"/>
  <c r="O15" i="1"/>
  <c r="O10" i="1"/>
  <c r="N12" i="1" s="1" a="1"/>
  <c r="N12" i="1" s="1"/>
  <c r="I4" i="1"/>
  <c r="N15" i="1" s="1" a="1"/>
  <c r="N15" i="1" s="1"/>
  <c r="H4" i="1"/>
  <c r="H5" i="1"/>
  <c r="I5" i="1" s="1"/>
  <c r="H6" i="1"/>
  <c r="I6" i="1" s="1"/>
  <c r="H7" i="1"/>
  <c r="I7" i="1" s="1"/>
  <c r="K30" i="1" s="1" a="1"/>
  <c r="K30" i="1" s="1"/>
  <c r="H8" i="1"/>
  <c r="I8" i="1" s="1"/>
  <c r="H3" i="1"/>
  <c r="I3" i="1" s="1"/>
  <c r="E4" i="1"/>
  <c r="E5" i="1"/>
  <c r="E6" i="1"/>
  <c r="E7" i="1"/>
  <c r="E8" i="1"/>
  <c r="E3" i="1"/>
  <c r="N10" i="1" l="1" a="1"/>
  <c r="N10" i="1" s="1"/>
  <c r="M30" i="1" a="1"/>
  <c r="M30" i="1" s="1"/>
  <c r="N30" i="1" a="1"/>
  <c r="N30" i="1" s="1"/>
  <c r="L30" i="1" a="1"/>
  <c r="L30" i="1" s="1"/>
  <c r="L15" i="1" a="1"/>
  <c r="L15" i="1" s="1"/>
  <c r="M15" i="1" a="1"/>
  <c r="M15" i="1" s="1"/>
  <c r="L25" i="1" a="1"/>
  <c r="L25" i="1" s="1"/>
  <c r="L35" i="1" a="1"/>
  <c r="L35" i="1" s="1"/>
  <c r="M35" i="1" a="1"/>
  <c r="M35" i="1" s="1"/>
  <c r="K36" i="1" a="1"/>
  <c r="K36" i="1" s="1"/>
  <c r="L36" i="1" a="1"/>
  <c r="L36" i="1" s="1"/>
  <c r="M36" i="1" a="1"/>
  <c r="M36" i="1" s="1"/>
  <c r="N36" i="1" a="1"/>
  <c r="N36" i="1" s="1"/>
  <c r="L37" i="1" a="1"/>
  <c r="L37" i="1" s="1"/>
  <c r="M37" i="1" a="1"/>
  <c r="M37" i="1" s="1"/>
  <c r="K35" i="1" a="1"/>
  <c r="K35" i="1" s="1"/>
  <c r="N37" i="1" a="1"/>
  <c r="N37" i="1" s="1"/>
  <c r="K31" i="1" a="1"/>
  <c r="K31" i="1" s="1"/>
  <c r="L31" i="1" a="1"/>
  <c r="L31" i="1" s="1"/>
  <c r="M31" i="1" a="1"/>
  <c r="M31" i="1" s="1"/>
  <c r="N31" i="1" a="1"/>
  <c r="N31" i="1" s="1"/>
  <c r="L32" i="1" a="1"/>
  <c r="L32" i="1" s="1"/>
  <c r="M32" i="1" a="1"/>
  <c r="M32" i="1" s="1"/>
  <c r="N32" i="1" a="1"/>
  <c r="N32" i="1" s="1"/>
  <c r="L26" i="1" a="1"/>
  <c r="L26" i="1" s="1"/>
  <c r="M26" i="1" a="1"/>
  <c r="M26" i="1" s="1"/>
  <c r="N26" i="1" a="1"/>
  <c r="N26" i="1" s="1"/>
  <c r="M25" i="1" a="1"/>
  <c r="M25" i="1" s="1"/>
  <c r="N25" i="1" a="1"/>
  <c r="N25" i="1" s="1"/>
  <c r="K26" i="1" a="1"/>
  <c r="K26" i="1" s="1"/>
  <c r="L27" i="1" a="1"/>
  <c r="L27" i="1" s="1"/>
  <c r="M27" i="1" a="1"/>
  <c r="M27" i="1" s="1"/>
  <c r="K25" i="1" a="1"/>
  <c r="K25" i="1" s="1"/>
  <c r="N27" i="1" a="1"/>
  <c r="N27" i="1" s="1"/>
  <c r="L20" i="1" a="1"/>
  <c r="L20" i="1" s="1"/>
  <c r="M20" i="1" a="1"/>
  <c r="M20" i="1" s="1"/>
  <c r="N20" i="1" a="1"/>
  <c r="N20" i="1" s="1"/>
  <c r="K21" i="1" a="1"/>
  <c r="K21" i="1" s="1"/>
  <c r="L21" i="1" a="1"/>
  <c r="L21" i="1" s="1"/>
  <c r="M21" i="1" a="1"/>
  <c r="M21" i="1" s="1"/>
  <c r="N21" i="1" a="1"/>
  <c r="N21" i="1" s="1"/>
  <c r="L22" i="1" a="1"/>
  <c r="L22" i="1" s="1"/>
  <c r="M22" i="1" a="1"/>
  <c r="M22" i="1" s="1"/>
  <c r="K20" i="1" a="1"/>
  <c r="K20" i="1" s="1"/>
  <c r="K16" i="1" a="1"/>
  <c r="K16" i="1" s="1"/>
  <c r="L16" i="1" a="1"/>
  <c r="L16" i="1" s="1"/>
  <c r="M16" i="1" a="1"/>
  <c r="M16" i="1" s="1"/>
  <c r="N16" i="1" a="1"/>
  <c r="N16" i="1" s="1"/>
  <c r="L17" i="1" a="1"/>
  <c r="L17" i="1" s="1"/>
  <c r="M17" i="1" a="1"/>
  <c r="M17" i="1" s="1"/>
  <c r="K15" i="1" a="1"/>
  <c r="K15" i="1" s="1"/>
  <c r="N17" i="1" a="1"/>
  <c r="N17" i="1" s="1"/>
  <c r="K11" i="1" a="1"/>
  <c r="K11" i="1" s="1"/>
  <c r="L10" i="1" a="1"/>
  <c r="L10" i="1" s="1"/>
  <c r="L11" i="1" a="1"/>
  <c r="L11" i="1" s="1"/>
  <c r="L12" i="1" a="1"/>
  <c r="L12" i="1" s="1"/>
  <c r="M10" i="1" a="1"/>
  <c r="M10" i="1" s="1"/>
  <c r="K10" i="1" a="1"/>
  <c r="K10" i="1" s="1"/>
  <c r="M11" i="1" a="1"/>
  <c r="M11" i="1" s="1"/>
  <c r="M12" i="1" a="1"/>
  <c r="M12" i="1" s="1"/>
  <c r="N11" i="1" a="1"/>
  <c r="N11" i="1" s="1"/>
  <c r="R15" i="1" l="1" a="1"/>
  <c r="R15" i="1" l="1"/>
  <c r="R20" i="1" s="1" a="1"/>
  <c r="R20" i="1" l="1"/>
  <c r="R25" i="1" s="1" a="1"/>
  <c r="R25" i="1" l="1"/>
  <c r="R30" i="1" s="1" a="1"/>
  <c r="R30" i="1" l="1"/>
  <c r="R35" i="1" s="1" a="1"/>
  <c r="R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<sst xmlns="http://schemas.openxmlformats.org/spreadsheetml/2006/main" count="18" uniqueCount="9">
  <si>
    <t>i</t>
  </si>
  <si>
    <t>a_i</t>
  </si>
  <si>
    <t>d_i</t>
  </si>
  <si>
    <r>
      <rPr>
        <b/>
        <sz val="11"/>
        <color theme="1"/>
        <rFont val="Aptos Narrow"/>
        <family val="2"/>
      </rPr>
      <t>θ</t>
    </r>
    <r>
      <rPr>
        <b/>
        <sz val="11"/>
        <color theme="1"/>
        <rFont val="Calibri"/>
        <family val="2"/>
      </rPr>
      <t>_final</t>
    </r>
  </si>
  <si>
    <t>alpha_i (deg)</t>
  </si>
  <si>
    <t>alpha_i (rad)</t>
  </si>
  <si>
    <t>θ (deg)</t>
  </si>
  <si>
    <t>θ_offset (deg)</t>
  </si>
  <si>
    <t>θ_offset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</si>
</sst>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746760</xdr:colOff>
      <xdr:row>9</xdr:row>
      <xdr:rowOff>179433</xdr:rowOff>
    </xdr:from>
    <xdr:ext cx="800100" cy="3241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E99B3A6-7284-46D0-CDC0-91F058A13FB0}"/>
                </a:ext>
              </a:extLst>
            </xdr:cNvPr>
            <xdr:cNvSpPr txBox="1"/>
          </xdr:nvSpPr>
          <xdr:spPr>
            <a:xfrm>
              <a:off x="5372100" y="1825353"/>
              <a:ext cx="800100" cy="3241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sSubSup>
                    <m:sSub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0</m:t>
                      </m:r>
                    </m:sup>
                  </m:sSubSup>
                </m:oMath>
              </a14:m>
              <a:r>
                <a:rPr lang="en-US" sz="20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E99B3A6-7284-46D0-CDC0-91F058A13FB0}"/>
                </a:ext>
              </a:extLst>
            </xdr:cNvPr>
            <xdr:cNvSpPr txBox="1"/>
          </xdr:nvSpPr>
          <xdr:spPr>
            <a:xfrm>
              <a:off x="5372100" y="1825353"/>
              <a:ext cx="800100" cy="3241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𝐻_1^0</a:t>
              </a:r>
              <a:r>
                <a:rPr lang="en-US" sz="2000"/>
                <a:t>=</a:t>
              </a:r>
            </a:p>
          </xdr:txBody>
        </xdr:sp>
      </mc:Fallback>
    </mc:AlternateContent>
    <xdr:clientData/>
  </xdr:oneCellAnchor>
  <xdr:oneCellAnchor>
    <xdr:from>
      <xdr:col>8</xdr:col>
      <xdr:colOff>807720</xdr:colOff>
      <xdr:row>14</xdr:row>
      <xdr:rowOff>180074</xdr:rowOff>
    </xdr:from>
    <xdr:ext cx="685800" cy="3229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9B6FEE-7647-46B1-8137-07355603DE30}"/>
                </a:ext>
              </a:extLst>
            </xdr:cNvPr>
            <xdr:cNvSpPr txBox="1"/>
          </xdr:nvSpPr>
          <xdr:spPr>
            <a:xfrm>
              <a:off x="5433060" y="2740394"/>
              <a:ext cx="685800" cy="322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sSubSup>
                    <m:sSub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1</m:t>
                      </m:r>
                    </m:sup>
                  </m:sSubSup>
                </m:oMath>
              </a14:m>
              <a:r>
                <a:rPr lang="en-US" sz="2000"/>
                <a:t>=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9B6FEE-7647-46B1-8137-07355603DE30}"/>
                </a:ext>
              </a:extLst>
            </xdr:cNvPr>
            <xdr:cNvSpPr txBox="1"/>
          </xdr:nvSpPr>
          <xdr:spPr>
            <a:xfrm>
              <a:off x="5433060" y="2740394"/>
              <a:ext cx="685800" cy="322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𝐻_2^1</a:t>
              </a:r>
              <a:r>
                <a:rPr lang="en-US" sz="2000"/>
                <a:t>=</a:t>
              </a:r>
            </a:p>
          </xdr:txBody>
        </xdr:sp>
      </mc:Fallback>
    </mc:AlternateContent>
    <xdr:clientData/>
  </xdr:oneCellAnchor>
  <xdr:oneCellAnchor>
    <xdr:from>
      <xdr:col>8</xdr:col>
      <xdr:colOff>792480</xdr:colOff>
      <xdr:row>19</xdr:row>
      <xdr:rowOff>172134</xdr:rowOff>
    </xdr:from>
    <xdr:ext cx="693420" cy="323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4A4F186-764D-447D-8591-E3298329D485}"/>
                </a:ext>
              </a:extLst>
            </xdr:cNvPr>
            <xdr:cNvSpPr txBox="1"/>
          </xdr:nvSpPr>
          <xdr:spPr>
            <a:xfrm>
              <a:off x="5417820" y="3646854"/>
              <a:ext cx="693420" cy="323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sSubSup>
                    <m:sSub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</m:oMath>
              </a14:m>
              <a:r>
                <a:rPr lang="en-US" sz="20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4A4F186-764D-447D-8591-E3298329D485}"/>
                </a:ext>
              </a:extLst>
            </xdr:cNvPr>
            <xdr:cNvSpPr txBox="1"/>
          </xdr:nvSpPr>
          <xdr:spPr>
            <a:xfrm>
              <a:off x="5417820" y="3646854"/>
              <a:ext cx="693420" cy="323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𝐻_3^2</a:t>
              </a:r>
              <a:r>
                <a:rPr lang="en-US" sz="2000"/>
                <a:t>=</a:t>
              </a:r>
            </a:p>
          </xdr:txBody>
        </xdr:sp>
      </mc:Fallback>
    </mc:AlternateContent>
    <xdr:clientData/>
  </xdr:oneCellAnchor>
  <xdr:oneCellAnchor>
    <xdr:from>
      <xdr:col>9</xdr:col>
      <xdr:colOff>15240</xdr:colOff>
      <xdr:row>25</xdr:row>
      <xdr:rowOff>4397</xdr:rowOff>
    </xdr:from>
    <xdr:ext cx="594360" cy="3237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5955617-C694-464B-8D63-105CC81B75A9}"/>
                </a:ext>
              </a:extLst>
            </xdr:cNvPr>
            <xdr:cNvSpPr txBox="1"/>
          </xdr:nvSpPr>
          <xdr:spPr>
            <a:xfrm>
              <a:off x="5463540" y="4576397"/>
              <a:ext cx="594360" cy="323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sSubSup>
                    <m:sSub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bSup>
                </m:oMath>
              </a14:m>
              <a:r>
                <a:rPr lang="en-US" sz="2000"/>
                <a:t>=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5955617-C694-464B-8D63-105CC81B75A9}"/>
                </a:ext>
              </a:extLst>
            </xdr:cNvPr>
            <xdr:cNvSpPr txBox="1"/>
          </xdr:nvSpPr>
          <xdr:spPr>
            <a:xfrm>
              <a:off x="5463540" y="4576397"/>
              <a:ext cx="594360" cy="323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𝐻_4^3</a:t>
              </a:r>
              <a:r>
                <a:rPr lang="en-US" sz="2000"/>
                <a:t>=</a:t>
              </a:r>
            </a:p>
          </xdr:txBody>
        </xdr:sp>
      </mc:Fallback>
    </mc:AlternateContent>
    <xdr:clientData/>
  </xdr:oneCellAnchor>
  <xdr:oneCellAnchor>
    <xdr:from>
      <xdr:col>9</xdr:col>
      <xdr:colOff>30480</xdr:colOff>
      <xdr:row>29</xdr:row>
      <xdr:rowOff>179272</xdr:rowOff>
    </xdr:from>
    <xdr:ext cx="556260" cy="3245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D92A318-120D-4654-AE7D-ACDD2759C434}"/>
                </a:ext>
              </a:extLst>
            </xdr:cNvPr>
            <xdr:cNvSpPr txBox="1"/>
          </xdr:nvSpPr>
          <xdr:spPr>
            <a:xfrm>
              <a:off x="5478780" y="5482792"/>
              <a:ext cx="556260" cy="3245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sSubSup>
                    <m:sSub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4</m:t>
                      </m:r>
                    </m:sup>
                  </m:sSubSup>
                </m:oMath>
              </a14:m>
              <a:r>
                <a:rPr lang="en-US" sz="2000"/>
                <a:t>=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D92A318-120D-4654-AE7D-ACDD2759C434}"/>
                </a:ext>
              </a:extLst>
            </xdr:cNvPr>
            <xdr:cNvSpPr txBox="1"/>
          </xdr:nvSpPr>
          <xdr:spPr>
            <a:xfrm>
              <a:off x="5478780" y="5482792"/>
              <a:ext cx="556260" cy="3245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𝐻_5^4</a:t>
              </a:r>
              <a:r>
                <a:rPr lang="en-US" sz="2000"/>
                <a:t>=</a:t>
              </a:r>
            </a:p>
          </xdr:txBody>
        </xdr:sp>
      </mc:Fallback>
    </mc:AlternateContent>
    <xdr:clientData/>
  </xdr:oneCellAnchor>
  <xdr:oneCellAnchor>
    <xdr:from>
      <xdr:col>9</xdr:col>
      <xdr:colOff>53340</xdr:colOff>
      <xdr:row>34</xdr:row>
      <xdr:rowOff>177060</xdr:rowOff>
    </xdr:from>
    <xdr:ext cx="556260" cy="3289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DB4D985-5E1A-4EF7-8510-91FB71195F7B}"/>
                </a:ext>
              </a:extLst>
            </xdr:cNvPr>
            <xdr:cNvSpPr txBox="1"/>
          </xdr:nvSpPr>
          <xdr:spPr>
            <a:xfrm>
              <a:off x="5501640" y="6394980"/>
              <a:ext cx="556260" cy="328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sSubSup>
                    <m:sSub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6</m:t>
                      </m:r>
                    </m:sub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5</m:t>
                      </m:r>
                    </m:sup>
                  </m:sSubSup>
                </m:oMath>
              </a14:m>
              <a:r>
                <a:rPr lang="en-US" sz="2000"/>
                <a:t>=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DB4D985-5E1A-4EF7-8510-91FB71195F7B}"/>
                </a:ext>
              </a:extLst>
            </xdr:cNvPr>
            <xdr:cNvSpPr txBox="1"/>
          </xdr:nvSpPr>
          <xdr:spPr>
            <a:xfrm>
              <a:off x="5501640" y="6394980"/>
              <a:ext cx="556260" cy="328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𝐻_6^5</a:t>
              </a:r>
              <a:r>
                <a:rPr lang="en-US" sz="2000"/>
                <a:t>=</a:t>
              </a:r>
            </a:p>
          </xdr:txBody>
        </xdr:sp>
      </mc:Fallback>
    </mc:AlternateContent>
    <xdr:clientData/>
  </xdr:oneCellAnchor>
  <xdr:twoCellAnchor>
    <xdr:from>
      <xdr:col>15</xdr:col>
      <xdr:colOff>0</xdr:colOff>
      <xdr:row>15</xdr:row>
      <xdr:rowOff>19877</xdr:rowOff>
    </xdr:from>
    <xdr:to>
      <xdr:col>16</xdr:col>
      <xdr:colOff>417443</xdr:colOff>
      <xdr:row>17</xdr:row>
      <xdr:rowOff>0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56634C35-C941-E381-2755-75B419C9FE97}"/>
            </a:ext>
          </a:extLst>
        </xdr:cNvPr>
        <xdr:cNvSpPr/>
      </xdr:nvSpPr>
      <xdr:spPr>
        <a:xfrm>
          <a:off x="9309652" y="2802834"/>
          <a:ext cx="1027043" cy="351183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13251</xdr:rowOff>
    </xdr:from>
    <xdr:to>
      <xdr:col>16</xdr:col>
      <xdr:colOff>417443</xdr:colOff>
      <xdr:row>21</xdr:row>
      <xdr:rowOff>178904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258C1535-143B-49C0-A940-A1D2A38E4D08}"/>
            </a:ext>
          </a:extLst>
        </xdr:cNvPr>
        <xdr:cNvSpPr/>
      </xdr:nvSpPr>
      <xdr:spPr>
        <a:xfrm>
          <a:off x="9309652" y="3723860"/>
          <a:ext cx="1027043" cy="351183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6626</xdr:colOff>
      <xdr:row>25</xdr:row>
      <xdr:rowOff>19877</xdr:rowOff>
    </xdr:from>
    <xdr:to>
      <xdr:col>16</xdr:col>
      <xdr:colOff>424069</xdr:colOff>
      <xdr:row>26</xdr:row>
      <xdr:rowOff>185530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5363D9E9-CDC0-49ED-B381-9025002AF773}"/>
            </a:ext>
          </a:extLst>
        </xdr:cNvPr>
        <xdr:cNvSpPr/>
      </xdr:nvSpPr>
      <xdr:spPr>
        <a:xfrm>
          <a:off x="9316278" y="4658138"/>
          <a:ext cx="1027043" cy="351183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6626</xdr:colOff>
      <xdr:row>30</xdr:row>
      <xdr:rowOff>13251</xdr:rowOff>
    </xdr:from>
    <xdr:to>
      <xdr:col>16</xdr:col>
      <xdr:colOff>424069</xdr:colOff>
      <xdr:row>31</xdr:row>
      <xdr:rowOff>178904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D39D21A9-B5E4-4041-91E6-7F285CC39623}"/>
            </a:ext>
          </a:extLst>
        </xdr:cNvPr>
        <xdr:cNvSpPr/>
      </xdr:nvSpPr>
      <xdr:spPr>
        <a:xfrm>
          <a:off x="9316278" y="5579164"/>
          <a:ext cx="1027043" cy="351183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609599</xdr:colOff>
      <xdr:row>35</xdr:row>
      <xdr:rowOff>19878</xdr:rowOff>
    </xdr:from>
    <xdr:to>
      <xdr:col>16</xdr:col>
      <xdr:colOff>417442</xdr:colOff>
      <xdr:row>37</xdr:row>
      <xdr:rowOff>0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C0378AB2-91A0-4403-B44B-B6F4A61A1CB0}"/>
            </a:ext>
          </a:extLst>
        </xdr:cNvPr>
        <xdr:cNvSpPr/>
      </xdr:nvSpPr>
      <xdr:spPr>
        <a:xfrm>
          <a:off x="9309651" y="6513443"/>
          <a:ext cx="1027043" cy="351183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470452</xdr:colOff>
      <xdr:row>18</xdr:row>
      <xdr:rowOff>19879</xdr:rowOff>
    </xdr:from>
    <xdr:to>
      <xdr:col>19</xdr:col>
      <xdr:colOff>152398</xdr:colOff>
      <xdr:row>18</xdr:row>
      <xdr:rowOff>172279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F4B4A74F-6881-4B64-AEBC-C7917AD22BFA}"/>
            </a:ext>
          </a:extLst>
        </xdr:cNvPr>
        <xdr:cNvSpPr/>
      </xdr:nvSpPr>
      <xdr:spPr>
        <a:xfrm rot="5400000">
          <a:off x="11678477" y="3289854"/>
          <a:ext cx="152400" cy="291546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470452</xdr:colOff>
      <xdr:row>23</xdr:row>
      <xdr:rowOff>19879</xdr:rowOff>
    </xdr:from>
    <xdr:to>
      <xdr:col>19</xdr:col>
      <xdr:colOff>152398</xdr:colOff>
      <xdr:row>23</xdr:row>
      <xdr:rowOff>172279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588CA7B1-1F7A-4986-AAD0-A2151C6CBA2D}"/>
            </a:ext>
          </a:extLst>
        </xdr:cNvPr>
        <xdr:cNvSpPr/>
      </xdr:nvSpPr>
      <xdr:spPr>
        <a:xfrm rot="5400000">
          <a:off x="11678477" y="4217506"/>
          <a:ext cx="152400" cy="291546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470452</xdr:colOff>
      <xdr:row>28</xdr:row>
      <xdr:rowOff>26505</xdr:rowOff>
    </xdr:from>
    <xdr:to>
      <xdr:col>19</xdr:col>
      <xdr:colOff>152398</xdr:colOff>
      <xdr:row>28</xdr:row>
      <xdr:rowOff>178905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C9D292BA-56B3-4BC5-8407-60164575AD89}"/>
            </a:ext>
          </a:extLst>
        </xdr:cNvPr>
        <xdr:cNvSpPr/>
      </xdr:nvSpPr>
      <xdr:spPr>
        <a:xfrm rot="5400000">
          <a:off x="11678477" y="5151784"/>
          <a:ext cx="152400" cy="291546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437322</xdr:colOff>
      <xdr:row>33</xdr:row>
      <xdr:rowOff>26505</xdr:rowOff>
    </xdr:from>
    <xdr:to>
      <xdr:col>19</xdr:col>
      <xdr:colOff>119268</xdr:colOff>
      <xdr:row>33</xdr:row>
      <xdr:rowOff>178905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1BAF7995-0EE0-4E66-8B9F-CA2F1DF3FD3B}"/>
            </a:ext>
          </a:extLst>
        </xdr:cNvPr>
        <xdr:cNvSpPr/>
      </xdr:nvSpPr>
      <xdr:spPr>
        <a:xfrm rot="5400000">
          <a:off x="11645347" y="6079436"/>
          <a:ext cx="152400" cy="291546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443946</xdr:colOff>
      <xdr:row>10</xdr:row>
      <xdr:rowOff>184484</xdr:rowOff>
    </xdr:from>
    <xdr:to>
      <xdr:col>19</xdr:col>
      <xdr:colOff>185529</xdr:colOff>
      <xdr:row>13</xdr:row>
      <xdr:rowOff>145773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4CA95EDB-96A9-467D-BE78-DE94118C0290}"/>
            </a:ext>
          </a:extLst>
        </xdr:cNvPr>
        <xdr:cNvSpPr/>
      </xdr:nvSpPr>
      <xdr:spPr>
        <a:xfrm rot="5400000">
          <a:off x="11507420" y="2111105"/>
          <a:ext cx="514742" cy="351183"/>
        </a:xfrm>
        <a:prstGeom prst="rightArrow">
          <a:avLst>
            <a:gd name="adj1" fmla="val 52285"/>
            <a:gd name="adj2" fmla="val 50000"/>
          </a:avLst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609598</xdr:colOff>
      <xdr:row>10</xdr:row>
      <xdr:rowOff>116305</xdr:rowOff>
    </xdr:from>
    <xdr:to>
      <xdr:col>19</xdr:col>
      <xdr:colOff>100263</xdr:colOff>
      <xdr:row>11</xdr:row>
      <xdr:rowOff>104274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E8273D1-F4EC-E65B-E124-22E64730CF8C}"/>
            </a:ext>
          </a:extLst>
        </xdr:cNvPr>
        <xdr:cNvSpPr/>
      </xdr:nvSpPr>
      <xdr:spPr>
        <a:xfrm>
          <a:off x="9316451" y="1961147"/>
          <a:ext cx="2538665" cy="1724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9"/>
  <sheetViews>
    <sheetView tabSelected="1" zoomScale="79" zoomScaleNormal="70" workbookViewId="0">
      <selection activeCell="I3" sqref="I3"/>
    </sheetView>
  </sheetViews>
  <sheetFormatPr defaultRowHeight="14.4" x14ac:dyDescent="0.3"/>
  <cols>
    <col min="1" max="1" width="6.6640625" bestFit="1" customWidth="1"/>
    <col min="2" max="2" width="2" bestFit="1" customWidth="1"/>
    <col min="3" max="3" width="5.77734375" customWidth="1"/>
    <col min="4" max="4" width="12" bestFit="1" customWidth="1"/>
    <col min="5" max="5" width="12.6640625" bestFit="1" customWidth="1"/>
    <col min="6" max="6" width="8.88671875" customWidth="1"/>
    <col min="7" max="7" width="12.109375" bestFit="1" customWidth="1"/>
    <col min="8" max="9" width="12" bestFit="1" customWidth="1"/>
    <col min="12" max="12" width="12" bestFit="1" customWidth="1"/>
  </cols>
  <sheetData>
    <row r="2" spans="1:21" x14ac:dyDescent="0.3">
      <c r="A2" s="1" t="s">
        <v>6</v>
      </c>
      <c r="B2" s="2" t="s">
        <v>0</v>
      </c>
      <c r="C2" s="2" t="s">
        <v>1</v>
      </c>
      <c r="D2" s="2" t="s">
        <v>4</v>
      </c>
      <c r="E2" s="2" t="s">
        <v>5</v>
      </c>
      <c r="F2" s="2" t="s">
        <v>2</v>
      </c>
      <c r="G2" s="1" t="s">
        <v>7</v>
      </c>
      <c r="H2" s="1" t="s">
        <v>8</v>
      </c>
      <c r="I2" s="3" t="s">
        <v>3</v>
      </c>
    </row>
    <row r="3" spans="1:21" x14ac:dyDescent="0.3">
      <c r="A3" s="4">
        <v>0</v>
      </c>
      <c r="B3">
        <v>1</v>
      </c>
      <c r="C3">
        <v>-49</v>
      </c>
      <c r="D3">
        <v>90</v>
      </c>
      <c r="E3">
        <f>RADIANS(D3)</f>
        <v>1.5707963267948966</v>
      </c>
      <c r="F3">
        <v>286</v>
      </c>
      <c r="G3">
        <v>0</v>
      </c>
      <c r="H3">
        <f>RADIANS(G3)</f>
        <v>0</v>
      </c>
      <c r="I3">
        <f>H3+RADIANS(A3)</f>
        <v>0</v>
      </c>
    </row>
    <row r="4" spans="1:21" x14ac:dyDescent="0.3">
      <c r="A4" s="4">
        <v>-90</v>
      </c>
      <c r="B4">
        <v>2</v>
      </c>
      <c r="C4">
        <v>472</v>
      </c>
      <c r="D4">
        <v>0</v>
      </c>
      <c r="E4">
        <f t="shared" ref="E4:E8" si="0">RADIANS(D4)</f>
        <v>0</v>
      </c>
      <c r="F4">
        <v>5</v>
      </c>
      <c r="G4">
        <v>90</v>
      </c>
      <c r="H4">
        <f t="shared" ref="H4:H8" si="1">RADIANS(G4)</f>
        <v>1.5707963267948966</v>
      </c>
      <c r="I4">
        <f t="shared" ref="I4:I8" si="2">H4+RADIANS(A4)</f>
        <v>0</v>
      </c>
    </row>
    <row r="5" spans="1:21" x14ac:dyDescent="0.3">
      <c r="A5" s="4">
        <v>90</v>
      </c>
      <c r="B5">
        <v>3</v>
      </c>
      <c r="C5">
        <v>0</v>
      </c>
      <c r="D5">
        <v>-90</v>
      </c>
      <c r="E5">
        <f t="shared" si="0"/>
        <v>-1.5707963267948966</v>
      </c>
      <c r="F5">
        <v>0</v>
      </c>
      <c r="G5">
        <v>-90</v>
      </c>
      <c r="H5">
        <f t="shared" si="1"/>
        <v>-1.5707963267948966</v>
      </c>
      <c r="I5">
        <f t="shared" si="2"/>
        <v>0</v>
      </c>
    </row>
    <row r="6" spans="1:21" x14ac:dyDescent="0.3">
      <c r="A6" s="4">
        <v>0</v>
      </c>
      <c r="B6">
        <v>4</v>
      </c>
      <c r="C6">
        <v>0</v>
      </c>
      <c r="D6">
        <v>90</v>
      </c>
      <c r="E6">
        <f t="shared" si="0"/>
        <v>1.5707963267948966</v>
      </c>
      <c r="F6">
        <v>320</v>
      </c>
      <c r="G6">
        <v>0</v>
      </c>
      <c r="H6">
        <f t="shared" si="1"/>
        <v>0</v>
      </c>
      <c r="I6">
        <f t="shared" si="2"/>
        <v>0</v>
      </c>
    </row>
    <row r="7" spans="1:21" x14ac:dyDescent="0.3">
      <c r="A7" s="4">
        <v>0</v>
      </c>
      <c r="B7">
        <v>5</v>
      </c>
      <c r="C7">
        <v>0</v>
      </c>
      <c r="D7">
        <v>90</v>
      </c>
      <c r="E7">
        <f t="shared" si="0"/>
        <v>1.5707963267948966</v>
      </c>
      <c r="F7">
        <v>0</v>
      </c>
      <c r="G7">
        <v>-180</v>
      </c>
      <c r="H7">
        <f t="shared" si="1"/>
        <v>-3.1415926535897931</v>
      </c>
      <c r="I7">
        <f t="shared" si="2"/>
        <v>-3.1415926535897931</v>
      </c>
    </row>
    <row r="8" spans="1:21" x14ac:dyDescent="0.3">
      <c r="A8" s="4">
        <v>0</v>
      </c>
      <c r="B8">
        <v>6</v>
      </c>
      <c r="C8">
        <v>0</v>
      </c>
      <c r="D8">
        <v>0</v>
      </c>
      <c r="E8">
        <f t="shared" si="0"/>
        <v>0</v>
      </c>
      <c r="F8">
        <v>130.5</v>
      </c>
      <c r="G8">
        <v>0</v>
      </c>
      <c r="H8">
        <f t="shared" si="1"/>
        <v>0</v>
      </c>
      <c r="I8">
        <f t="shared" si="2"/>
        <v>0</v>
      </c>
    </row>
    <row r="10" spans="1:21" x14ac:dyDescent="0.3">
      <c r="K10" s="5" cm="1">
        <f t="array" ref="K10">ROUND(COS(INDEX(I:I,O10)),10)</f>
        <v>1</v>
      </c>
      <c r="L10" s="5" cm="1">
        <f t="array" ref="L10">ROUND(-SIN(INDEX(I:I, O10))*COS(INDEX(E:E,O10)), 10)</f>
        <v>0</v>
      </c>
      <c r="M10" s="5" cm="1">
        <f t="array" ref="M10">ROUND(SIN(INDEX(I:I, O10))*SIN(INDEX(E:E, O10)),10)</f>
        <v>0</v>
      </c>
      <c r="N10" s="5" cm="1">
        <f t="array" ref="N10">ROUND(INDEX(C:C, O10)*COS(INDEX(I:I, O10)),10)</f>
        <v>-49</v>
      </c>
      <c r="O10">
        <f>ROW(A3)</f>
        <v>3</v>
      </c>
    </row>
    <row r="11" spans="1:21" x14ac:dyDescent="0.3">
      <c r="K11" s="5" cm="1">
        <f t="array" ref="K11">ROUND(SIN(INDEX(I:I, O10)), 10)</f>
        <v>0</v>
      </c>
      <c r="L11" s="5" cm="1">
        <f t="array" ref="L11">ROUND(COS(INDEX(I:I, O10))*COS(INDEX(E:E, O10)), 10)</f>
        <v>0</v>
      </c>
      <c r="M11" s="5" cm="1">
        <f t="array" ref="M11">ROUND(-COS(INDEX(I:I, O10))*SIN(INDEX(E:E, O10)),10)</f>
        <v>-1</v>
      </c>
      <c r="N11" s="5" cm="1">
        <f t="array" ref="N11">ROUND(INDEX(C:C, O10)*SIN(INDEX(I:I, O10)),10)</f>
        <v>0</v>
      </c>
    </row>
    <row r="12" spans="1:21" x14ac:dyDescent="0.3">
      <c r="K12" s="5">
        <v>0</v>
      </c>
      <c r="L12" s="5" cm="1">
        <f t="array" ref="L12">ROUND(SIN(INDEX(E:E, O10)),10)</f>
        <v>1</v>
      </c>
      <c r="M12" s="5" cm="1">
        <f t="array" ref="M12">ROUND(COS(INDEX(E:E, O10)),10)</f>
        <v>0</v>
      </c>
      <c r="N12" s="5" cm="1">
        <f t="array" ref="N12">INDEX(F:F, O10)</f>
        <v>286</v>
      </c>
    </row>
    <row r="13" spans="1:21" x14ac:dyDescent="0.3">
      <c r="K13" s="5">
        <v>0</v>
      </c>
      <c r="L13" s="5">
        <v>0</v>
      </c>
      <c r="M13" s="5">
        <v>0</v>
      </c>
      <c r="N13" s="5">
        <v>1</v>
      </c>
    </row>
    <row r="15" spans="1:21" x14ac:dyDescent="0.3">
      <c r="K15" s="5" cm="1">
        <f t="array" ref="K15">ROUND(COS(INDEX(I:I,O15)),10)</f>
        <v>1</v>
      </c>
      <c r="L15" s="5" cm="1">
        <f t="array" ref="L15">ROUND(-SIN(INDEX(I:I, O15))*COS(INDEX(E:E,O15)), 10)</f>
        <v>0</v>
      </c>
      <c r="M15" s="5" cm="1">
        <f t="array" ref="M15">ROUND(SIN(INDEX(I:I, O15))*SIN(INDEX(E:E, O15)),10)</f>
        <v>0</v>
      </c>
      <c r="N15" s="5" cm="1">
        <f t="array" ref="N15">ROUND(INDEX(C:C, O15)*COS(INDEX(I:I, O15)),10)</f>
        <v>472</v>
      </c>
      <c r="O15">
        <f>ROW(B4)</f>
        <v>4</v>
      </c>
      <c r="R15" s="5" cm="1">
        <f t="array" ref="R15:U18">MMULT(K10:N13,K15:N18)</f>
        <v>1</v>
      </c>
      <c r="S15" s="5">
        <v>0</v>
      </c>
      <c r="T15" s="5">
        <v>0</v>
      </c>
      <c r="U15" s="5">
        <v>423</v>
      </c>
    </row>
    <row r="16" spans="1:21" x14ac:dyDescent="0.3">
      <c r="K16" s="5" cm="1">
        <f t="array" ref="K16">ROUND(SIN(INDEX(I:I, O15)), 10)</f>
        <v>0</v>
      </c>
      <c r="L16" s="5" cm="1">
        <f t="array" ref="L16">ROUND(COS(INDEX(I:I, O15))*COS(INDEX(E:E, O15)), 10)</f>
        <v>1</v>
      </c>
      <c r="M16" s="5" cm="1">
        <f t="array" ref="M16">ROUND(-COS(INDEX(I:I, O15))*SIN(INDEX(E:E, O15)),10)</f>
        <v>0</v>
      </c>
      <c r="N16" s="5" cm="1">
        <f t="array" ref="N16">ROUND(INDEX(C:C, O15)*SIN(INDEX(I:I, O15)),10)</f>
        <v>0</v>
      </c>
      <c r="R16" s="5">
        <v>0</v>
      </c>
      <c r="S16" s="5">
        <v>0</v>
      </c>
      <c r="T16" s="5">
        <v>-1</v>
      </c>
      <c r="U16" s="5">
        <v>-5</v>
      </c>
    </row>
    <row r="17" spans="11:21" x14ac:dyDescent="0.3">
      <c r="K17" s="5">
        <v>0</v>
      </c>
      <c r="L17" s="5" cm="1">
        <f t="array" ref="L17">ROUND(SIN(INDEX(E:E, O15)),10)</f>
        <v>0</v>
      </c>
      <c r="M17" s="5" cm="1">
        <f t="array" ref="M17">ROUND(COS(INDEX(E:E, O15)),10)</f>
        <v>1</v>
      </c>
      <c r="N17" s="5" cm="1">
        <f t="array" ref="N17">INDEX(F:F, O15)</f>
        <v>5</v>
      </c>
      <c r="R17" s="5">
        <v>0</v>
      </c>
      <c r="S17" s="5">
        <v>1</v>
      </c>
      <c r="T17" s="5">
        <v>0</v>
      </c>
      <c r="U17" s="5">
        <v>286</v>
      </c>
    </row>
    <row r="18" spans="11:21" x14ac:dyDescent="0.3">
      <c r="K18" s="5">
        <v>0</v>
      </c>
      <c r="L18" s="5">
        <v>0</v>
      </c>
      <c r="M18" s="5">
        <v>0</v>
      </c>
      <c r="N18" s="5">
        <v>1</v>
      </c>
      <c r="R18" s="5">
        <v>0</v>
      </c>
      <c r="S18" s="5">
        <v>0</v>
      </c>
      <c r="T18" s="5">
        <v>0</v>
      </c>
      <c r="U18" s="5">
        <v>1</v>
      </c>
    </row>
    <row r="20" spans="11:21" x14ac:dyDescent="0.3">
      <c r="K20" s="5" cm="1">
        <f t="array" ref="K20">ROUND(COS(INDEX(I:I,O20)),10)</f>
        <v>1</v>
      </c>
      <c r="L20" s="5" cm="1">
        <f t="array" ref="L20">ROUND(-SIN(INDEX(I:I, O20))*COS(INDEX(E:E,O20)), 10)</f>
        <v>0</v>
      </c>
      <c r="M20" s="5" cm="1">
        <f t="array" ref="M20">ROUND(SIN(INDEX(I:I, O20))*SIN(INDEX(E:E, O20)),10)</f>
        <v>0</v>
      </c>
      <c r="N20" s="5" cm="1">
        <f t="array" ref="N20">ROUND(INDEX(C:C, O20)*COS(INDEX(I:I, O20)),10)</f>
        <v>0</v>
      </c>
      <c r="O20">
        <f>ROW(B5)</f>
        <v>5</v>
      </c>
      <c r="R20" s="5" cm="1">
        <f t="array" ref="R20:U23">MMULT(_xlfn.ANCHORARRAY(R15),K20:N23)</f>
        <v>1</v>
      </c>
      <c r="S20" s="5">
        <v>0</v>
      </c>
      <c r="T20" s="5">
        <v>0</v>
      </c>
      <c r="U20" s="5">
        <v>423</v>
      </c>
    </row>
    <row r="21" spans="11:21" x14ac:dyDescent="0.3">
      <c r="K21" s="5" cm="1">
        <f t="array" ref="K21">ROUND(SIN(INDEX(I:I, O20)), 10)</f>
        <v>0</v>
      </c>
      <c r="L21" s="5" cm="1">
        <f t="array" ref="L21">ROUND(COS(INDEX(I:I, O20))*COS(INDEX(E:E, O20)), 10)</f>
        <v>0</v>
      </c>
      <c r="M21" s="5" cm="1">
        <f t="array" ref="M21">ROUND(-COS(INDEX(I:I, O20))*SIN(INDEX(E:E, O20)),10)</f>
        <v>1</v>
      </c>
      <c r="N21" s="5" cm="1">
        <f t="array" ref="N21">ROUND(INDEX(C:C, O20)*SIN(INDEX(I:I, O20)),10)</f>
        <v>0</v>
      </c>
      <c r="R21" s="5">
        <v>0</v>
      </c>
      <c r="S21" s="5">
        <v>1</v>
      </c>
      <c r="T21" s="5">
        <v>0</v>
      </c>
      <c r="U21" s="5">
        <v>-5</v>
      </c>
    </row>
    <row r="22" spans="11:21" x14ac:dyDescent="0.3">
      <c r="K22" s="5">
        <v>0</v>
      </c>
      <c r="L22" s="5" cm="1">
        <f t="array" ref="L22">ROUND(SIN(INDEX(E:E, O20)),10)</f>
        <v>-1</v>
      </c>
      <c r="M22" s="5" cm="1">
        <f t="array" ref="M22">ROUND(COS(INDEX(E:E, O20)),10)</f>
        <v>0</v>
      </c>
      <c r="N22" s="5" cm="1">
        <f t="array" ref="N22">INDEX(F:F, O20)</f>
        <v>0</v>
      </c>
      <c r="R22" s="5">
        <v>0</v>
      </c>
      <c r="S22" s="5">
        <v>0</v>
      </c>
      <c r="T22" s="5">
        <v>1</v>
      </c>
      <c r="U22" s="5">
        <v>286</v>
      </c>
    </row>
    <row r="23" spans="11:21" x14ac:dyDescent="0.3">
      <c r="K23" s="5">
        <v>0</v>
      </c>
      <c r="L23" s="5">
        <v>0</v>
      </c>
      <c r="M23" s="5">
        <v>0</v>
      </c>
      <c r="N23" s="5">
        <v>1</v>
      </c>
      <c r="R23" s="5">
        <v>0</v>
      </c>
      <c r="S23" s="5">
        <v>0</v>
      </c>
      <c r="T23" s="5">
        <v>0</v>
      </c>
      <c r="U23" s="5">
        <v>1</v>
      </c>
    </row>
    <row r="25" spans="11:21" x14ac:dyDescent="0.3">
      <c r="K25" s="5" cm="1">
        <f t="array" ref="K25">ROUND(COS(INDEX(I:I,O25)),10)</f>
        <v>1</v>
      </c>
      <c r="L25" s="5" cm="1">
        <f t="array" ref="L25">ROUND(-SIN(INDEX(I:I, O25))*COS(INDEX(E:E,O25)), 10)</f>
        <v>0</v>
      </c>
      <c r="M25" s="5" cm="1">
        <f t="array" ref="M25">ROUND(SIN(INDEX(I:I, O25))*SIN(INDEX(E:E, O25)),10)</f>
        <v>0</v>
      </c>
      <c r="N25" s="5" cm="1">
        <f t="array" ref="N25">ROUND(INDEX(C:C, O25)*COS(INDEX(I:I, O25)),10)</f>
        <v>0</v>
      </c>
      <c r="O25">
        <f>ROW(B6)</f>
        <v>6</v>
      </c>
      <c r="R25" s="5" cm="1">
        <f t="array" ref="R25:U28">MMULT(_xlfn.ANCHORARRAY(R20),K25:N28)</f>
        <v>1</v>
      </c>
      <c r="S25" s="5">
        <v>0</v>
      </c>
      <c r="T25" s="5">
        <v>0</v>
      </c>
      <c r="U25" s="5">
        <v>423</v>
      </c>
    </row>
    <row r="26" spans="11:21" x14ac:dyDescent="0.3">
      <c r="K26" s="5" cm="1">
        <f t="array" ref="K26">ROUND(SIN(INDEX(I:I, O25)), 10)</f>
        <v>0</v>
      </c>
      <c r="L26" s="5" cm="1">
        <f t="array" ref="L26">ROUND(COS(INDEX(I:I, O25))*COS(INDEX(E:E, O25)), 10)</f>
        <v>0</v>
      </c>
      <c r="M26" s="5" cm="1">
        <f t="array" ref="M26">ROUND(-COS(INDEX(I:I, O25))*SIN(INDEX(E:E, O25)),10)</f>
        <v>-1</v>
      </c>
      <c r="N26" s="5" cm="1">
        <f t="array" ref="N26">ROUND(INDEX(C:C, O25)*SIN(INDEX(I:I, O25)),10)</f>
        <v>0</v>
      </c>
      <c r="R26" s="5">
        <v>0</v>
      </c>
      <c r="S26" s="5">
        <v>0</v>
      </c>
      <c r="T26" s="5">
        <v>-1</v>
      </c>
      <c r="U26" s="5">
        <v>-5</v>
      </c>
    </row>
    <row r="27" spans="11:21" x14ac:dyDescent="0.3">
      <c r="K27" s="5">
        <v>0</v>
      </c>
      <c r="L27" s="5" cm="1">
        <f t="array" ref="L27">ROUND(SIN(INDEX(E:E, O25)),10)</f>
        <v>1</v>
      </c>
      <c r="M27" s="5" cm="1">
        <f t="array" ref="M27">ROUND(COS(INDEX(E:E, O25)),10)</f>
        <v>0</v>
      </c>
      <c r="N27" s="5" cm="1">
        <f t="array" ref="N27">INDEX(F:F, O25)</f>
        <v>320</v>
      </c>
      <c r="R27" s="5">
        <v>0</v>
      </c>
      <c r="S27" s="5">
        <v>1</v>
      </c>
      <c r="T27" s="5">
        <v>0</v>
      </c>
      <c r="U27" s="5">
        <v>606</v>
      </c>
    </row>
    <row r="28" spans="11:21" x14ac:dyDescent="0.3">
      <c r="K28" s="5">
        <v>0</v>
      </c>
      <c r="L28" s="5">
        <v>0</v>
      </c>
      <c r="M28" s="5">
        <v>0</v>
      </c>
      <c r="N28" s="5">
        <v>1</v>
      </c>
      <c r="R28" s="5">
        <v>0</v>
      </c>
      <c r="S28" s="5">
        <v>0</v>
      </c>
      <c r="T28" s="5">
        <v>0</v>
      </c>
      <c r="U28" s="5">
        <v>1</v>
      </c>
    </row>
    <row r="30" spans="11:21" x14ac:dyDescent="0.3">
      <c r="K30" s="5" cm="1">
        <f t="array" ref="K30">ROUND(COS(INDEX(I:I,O30)),10)</f>
        <v>-1</v>
      </c>
      <c r="L30" s="5" cm="1">
        <f t="array" ref="L30">ROUND(-SIN(INDEX(I:I, O30))*COS(INDEX(E:E,O30)), 10)</f>
        <v>0</v>
      </c>
      <c r="M30" s="5" cm="1">
        <f t="array" ref="M30">ROUND(SIN(INDEX(I:I, O30))*SIN(INDEX(E:E, O30)),10)</f>
        <v>0</v>
      </c>
      <c r="N30" s="5" cm="1">
        <f t="array" ref="N30">ROUND(INDEX(C:C, O30)*COS(INDEX(I:I, O30)),10)</f>
        <v>0</v>
      </c>
      <c r="O30">
        <f>ROW(B7)</f>
        <v>7</v>
      </c>
      <c r="R30" s="5" cm="1">
        <f t="array" ref="R30:U33">MMULT(_xlfn.ANCHORARRAY(R25),K30:N33)</f>
        <v>-1</v>
      </c>
      <c r="S30" s="5">
        <v>0</v>
      </c>
      <c r="T30" s="5">
        <v>0</v>
      </c>
      <c r="U30" s="5">
        <v>423</v>
      </c>
    </row>
    <row r="31" spans="11:21" x14ac:dyDescent="0.3">
      <c r="K31" s="5" cm="1">
        <f t="array" ref="K31">ROUND(SIN(INDEX(I:I, O30)), 10)</f>
        <v>0</v>
      </c>
      <c r="L31" s="5" cm="1">
        <f t="array" ref="L31">ROUND(COS(INDEX(I:I, O30))*COS(INDEX(E:E, O30)), 10)</f>
        <v>0</v>
      </c>
      <c r="M31" s="5" cm="1">
        <f t="array" ref="M31">ROUND(-COS(INDEX(I:I, O30))*SIN(INDEX(E:E, O30)),10)</f>
        <v>1</v>
      </c>
      <c r="N31" s="5" cm="1">
        <f t="array" ref="N31">ROUND(INDEX(C:C, O30)*SIN(INDEX(I:I, O30)),10)</f>
        <v>0</v>
      </c>
      <c r="R31" s="5">
        <v>0</v>
      </c>
      <c r="S31" s="5">
        <v>-1</v>
      </c>
      <c r="T31" s="5">
        <v>0</v>
      </c>
      <c r="U31" s="5">
        <v>-5</v>
      </c>
    </row>
    <row r="32" spans="11:21" x14ac:dyDescent="0.3">
      <c r="K32" s="5">
        <v>0</v>
      </c>
      <c r="L32" s="5" cm="1">
        <f t="array" ref="L32">ROUND(SIN(INDEX(E:E, O30)),10)</f>
        <v>1</v>
      </c>
      <c r="M32" s="5" cm="1">
        <f t="array" ref="M32">ROUND(COS(INDEX(E:E, O30)),10)</f>
        <v>0</v>
      </c>
      <c r="N32" s="5" cm="1">
        <f t="array" ref="N32">INDEX(F:F, O30)</f>
        <v>0</v>
      </c>
      <c r="R32" s="5">
        <v>0</v>
      </c>
      <c r="S32" s="5">
        <v>0</v>
      </c>
      <c r="T32" s="5">
        <v>1</v>
      </c>
      <c r="U32" s="5">
        <v>606</v>
      </c>
    </row>
    <row r="33" spans="1:21" x14ac:dyDescent="0.3">
      <c r="K33" s="5">
        <v>0</v>
      </c>
      <c r="L33" s="5">
        <v>0</v>
      </c>
      <c r="M33" s="5">
        <v>0</v>
      </c>
      <c r="N33" s="5">
        <v>1</v>
      </c>
      <c r="R33" s="5">
        <v>0</v>
      </c>
      <c r="S33" s="5">
        <v>0</v>
      </c>
      <c r="T33" s="5">
        <v>0</v>
      </c>
      <c r="U33" s="5">
        <v>1</v>
      </c>
    </row>
    <row r="35" spans="1:21" x14ac:dyDescent="0.3">
      <c r="K35" s="5" cm="1">
        <f t="array" ref="K35">ROUND(COS(INDEX(I:I,O35)),10)</f>
        <v>1</v>
      </c>
      <c r="L35" s="5" cm="1">
        <f t="array" ref="L35">ROUND(-SIN(INDEX(I:I, O35))*COS(INDEX(E:E,O35)), 10)</f>
        <v>0</v>
      </c>
      <c r="M35" s="5" cm="1">
        <f t="array" ref="M35">ROUND(SIN(INDEX(I:I, O35))*SIN(INDEX(E:E, O35)),10)</f>
        <v>0</v>
      </c>
      <c r="N35" s="5" cm="1">
        <f t="array" ref="N35">ROUND(INDEX(C:C, O35)*COS(INDEX(I:I, O35)),10)</f>
        <v>0</v>
      </c>
      <c r="O35">
        <f>ROW(B8)</f>
        <v>8</v>
      </c>
      <c r="R35" s="5" cm="1">
        <f t="array" ref="R35:U38">MMULT(_xlfn.ANCHORARRAY(R30),K35:N38)</f>
        <v>-1</v>
      </c>
      <c r="S35" s="5">
        <v>0</v>
      </c>
      <c r="T35" s="5">
        <v>0</v>
      </c>
      <c r="U35" s="5">
        <v>423</v>
      </c>
    </row>
    <row r="36" spans="1:21" x14ac:dyDescent="0.3">
      <c r="K36" s="5" cm="1">
        <f t="array" ref="K36">ROUND(SIN(INDEX(I:I, O35)), 10)</f>
        <v>0</v>
      </c>
      <c r="L36" s="5" cm="1">
        <f t="array" ref="L36">ROUND(COS(INDEX(I:I, O35))*COS(INDEX(E:E, O35)), 10)</f>
        <v>1</v>
      </c>
      <c r="M36" s="5" cm="1">
        <f t="array" ref="M36">ROUND(-COS(INDEX(I:I, O35))*SIN(INDEX(E:E, O35)),10)</f>
        <v>0</v>
      </c>
      <c r="N36" s="5" cm="1">
        <f t="array" ref="N36">ROUND(INDEX(C:C, O35)*SIN(INDEX(I:I, O35)),10)</f>
        <v>0</v>
      </c>
      <c r="R36" s="5">
        <v>0</v>
      </c>
      <c r="S36" s="5">
        <v>-1</v>
      </c>
      <c r="T36" s="5">
        <v>0</v>
      </c>
      <c r="U36" s="5">
        <v>-5</v>
      </c>
    </row>
    <row r="37" spans="1:21" x14ac:dyDescent="0.3">
      <c r="K37" s="5">
        <v>0</v>
      </c>
      <c r="L37" s="5" cm="1">
        <f t="array" ref="L37">ROUND(SIN(INDEX(E:E, O35)),10)</f>
        <v>0</v>
      </c>
      <c r="M37" s="5" cm="1">
        <f t="array" ref="M37">ROUND(COS(INDEX(E:E, O35)),10)</f>
        <v>1</v>
      </c>
      <c r="N37" s="5" cm="1">
        <f t="array" ref="N37">INDEX(F:F, O35)</f>
        <v>130.5</v>
      </c>
      <c r="R37" s="5">
        <v>0</v>
      </c>
      <c r="S37" s="5">
        <v>0</v>
      </c>
      <c r="T37" s="5">
        <v>1</v>
      </c>
      <c r="U37" s="5">
        <v>736.5</v>
      </c>
    </row>
    <row r="38" spans="1:21" x14ac:dyDescent="0.3">
      <c r="K38" s="5">
        <v>0</v>
      </c>
      <c r="L38" s="5">
        <v>0</v>
      </c>
      <c r="M38" s="5">
        <v>0</v>
      </c>
      <c r="N38" s="5">
        <v>1</v>
      </c>
      <c r="R38" s="5">
        <v>0</v>
      </c>
      <c r="S38" s="5">
        <v>0</v>
      </c>
      <c r="T38" s="5">
        <v>0</v>
      </c>
      <c r="U38" s="5">
        <v>1</v>
      </c>
    </row>
    <row r="43" spans="1:21" x14ac:dyDescent="0.3">
      <c r="A43" s="1" t="s">
        <v>6</v>
      </c>
      <c r="B43" s="2" t="s">
        <v>0</v>
      </c>
      <c r="C43" s="2" t="s">
        <v>1</v>
      </c>
      <c r="D43" s="2" t="s">
        <v>4</v>
      </c>
      <c r="E43" s="2" t="s">
        <v>5</v>
      </c>
      <c r="F43" s="2" t="s">
        <v>2</v>
      </c>
      <c r="G43" s="1" t="s">
        <v>7</v>
      </c>
      <c r="H43" s="1" t="s">
        <v>8</v>
      </c>
      <c r="I43" s="3" t="s">
        <v>3</v>
      </c>
    </row>
    <row r="44" spans="1:21" x14ac:dyDescent="0.3">
      <c r="A44" s="4">
        <v>0</v>
      </c>
      <c r="B44">
        <v>1</v>
      </c>
      <c r="C44">
        <v>49</v>
      </c>
      <c r="D44">
        <v>90</v>
      </c>
      <c r="E44">
        <f>RADIANS(D44)</f>
        <v>1.5707963267948966</v>
      </c>
      <c r="F44">
        <v>174</v>
      </c>
      <c r="G44">
        <v>0</v>
      </c>
      <c r="H44">
        <f>RADIANS(G44)</f>
        <v>0</v>
      </c>
      <c r="I44">
        <f>H44+RADIANS(A44)</f>
        <v>0</v>
      </c>
    </row>
    <row r="45" spans="1:21" x14ac:dyDescent="0.3">
      <c r="A45" s="4">
        <v>0</v>
      </c>
      <c r="B45">
        <v>2</v>
      </c>
      <c r="C45">
        <v>472</v>
      </c>
      <c r="D45">
        <v>0</v>
      </c>
      <c r="E45">
        <f t="shared" ref="E45:E49" si="3">RADIANS(D45)</f>
        <v>0</v>
      </c>
      <c r="F45">
        <v>65.5</v>
      </c>
      <c r="G45">
        <v>90</v>
      </c>
      <c r="H45">
        <f t="shared" ref="H45:H49" si="4">RADIANS(G45)</f>
        <v>1.5707963267948966</v>
      </c>
      <c r="I45">
        <f t="shared" ref="I45:I49" si="5">H45+RADIANS(A45)</f>
        <v>1.5707963267948966</v>
      </c>
    </row>
    <row r="46" spans="1:21" x14ac:dyDescent="0.3">
      <c r="A46" s="4">
        <v>0</v>
      </c>
      <c r="B46">
        <v>3</v>
      </c>
      <c r="C46">
        <v>0</v>
      </c>
      <c r="D46">
        <v>90</v>
      </c>
      <c r="E46">
        <f t="shared" si="3"/>
        <v>1.5707963267948966</v>
      </c>
      <c r="F46">
        <v>60.5</v>
      </c>
      <c r="G46">
        <v>90</v>
      </c>
      <c r="H46">
        <f t="shared" si="4"/>
        <v>1.5707963267948966</v>
      </c>
      <c r="I46">
        <f t="shared" si="5"/>
        <v>1.5707963267948966</v>
      </c>
    </row>
    <row r="47" spans="1:21" x14ac:dyDescent="0.3">
      <c r="A47" s="4">
        <v>0</v>
      </c>
      <c r="B47">
        <v>4</v>
      </c>
      <c r="C47">
        <v>0</v>
      </c>
      <c r="D47">
        <v>-90</v>
      </c>
      <c r="E47">
        <f t="shared" si="3"/>
        <v>-1.5707963267948966</v>
      </c>
      <c r="F47">
        <v>320.60000000000002</v>
      </c>
      <c r="G47">
        <v>0</v>
      </c>
      <c r="H47">
        <f t="shared" si="4"/>
        <v>0</v>
      </c>
      <c r="I47">
        <f t="shared" si="5"/>
        <v>0</v>
      </c>
    </row>
    <row r="48" spans="1:21" x14ac:dyDescent="0.3">
      <c r="A48" s="4">
        <v>0</v>
      </c>
      <c r="B48">
        <v>5</v>
      </c>
      <c r="C48">
        <v>0</v>
      </c>
      <c r="D48">
        <v>90</v>
      </c>
      <c r="E48">
        <f t="shared" si="3"/>
        <v>1.5707963267948966</v>
      </c>
      <c r="F48">
        <v>0</v>
      </c>
      <c r="G48">
        <v>0</v>
      </c>
      <c r="H48">
        <f t="shared" si="4"/>
        <v>0</v>
      </c>
      <c r="I48">
        <f t="shared" si="5"/>
        <v>0</v>
      </c>
    </row>
    <row r="49" spans="1:9" x14ac:dyDescent="0.3">
      <c r="A49" s="4">
        <v>0</v>
      </c>
      <c r="B49">
        <v>6</v>
      </c>
      <c r="C49">
        <v>0</v>
      </c>
      <c r="D49">
        <v>0</v>
      </c>
      <c r="E49">
        <f t="shared" si="3"/>
        <v>0</v>
      </c>
      <c r="F49">
        <v>0</v>
      </c>
      <c r="G49">
        <v>0</v>
      </c>
      <c r="H49">
        <f t="shared" si="4"/>
        <v>0</v>
      </c>
      <c r="I49">
        <f t="shared" si="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Petrov</dc:creator>
  <cp:lastModifiedBy>Andrey Petrov</cp:lastModifiedBy>
  <dcterms:created xsi:type="dcterms:W3CDTF">2015-06-05T18:17:20Z</dcterms:created>
  <dcterms:modified xsi:type="dcterms:W3CDTF">2026-03-29T21:00:55Z</dcterms:modified>
</cp:coreProperties>
</file>