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ro\Desktop\Robot\"/>
    </mc:Choice>
  </mc:AlternateContent>
  <xr:revisionPtr revIDLastSave="0" documentId="13_ncr:1_{BBBFF014-1778-4CD5-ABFA-2F00E49DE386}" xr6:coauthVersionLast="47" xr6:coauthVersionMax="47" xr10:uidLastSave="{00000000-0000-0000-0000-000000000000}"/>
  <bookViews>
    <workbookView xWindow="2688" yWindow="2688" windowWidth="17280" windowHeight="9960" xr2:uid="{AB99FCA8-E551-C942-B192-74CD3E9E8C9D}"/>
  </bookViews>
  <sheets>
    <sheet name="6-осевой робот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J62" i="2"/>
  <c r="I62" i="2"/>
  <c r="BG5" i="2"/>
  <c r="BH5" i="2"/>
  <c r="BI5" i="2"/>
  <c r="BD5" i="2"/>
  <c r="BE5" i="2"/>
  <c r="BF5" i="2"/>
  <c r="AY5" i="2"/>
  <c r="AZ5" i="2"/>
  <c r="BA5" i="2"/>
  <c r="BB5" i="2"/>
  <c r="BC5" i="2"/>
  <c r="AQ5" i="2"/>
  <c r="AR5" i="2" s="1"/>
  <c r="AS5" i="2" s="1"/>
  <c r="AT5" i="2" s="1"/>
  <c r="AU5" i="2" s="1"/>
  <c r="AV5" i="2" s="1"/>
  <c r="AW5" i="2" s="1"/>
  <c r="AX5" i="2" s="1"/>
  <c r="J45" i="2"/>
  <c r="J46" i="2"/>
  <c r="J47" i="2"/>
  <c r="J48" i="2"/>
  <c r="J49" i="2"/>
  <c r="J50" i="2"/>
  <c r="J51" i="2"/>
  <c r="J52" i="2"/>
  <c r="J53" i="2"/>
  <c r="J54" i="2"/>
  <c r="J55" i="2"/>
  <c r="J56" i="2"/>
  <c r="AM5" i="2"/>
  <c r="AN5" i="2"/>
  <c r="AO5" i="2"/>
  <c r="AP5" i="2" s="1"/>
  <c r="AK5" i="2"/>
  <c r="AL5" i="2" s="1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 s="1"/>
  <c r="AH5" i="2" s="1"/>
  <c r="AI5" i="2" s="1"/>
  <c r="AJ5" i="2" s="1"/>
  <c r="L5" i="2"/>
  <c r="J37" i="2"/>
  <c r="J38" i="2"/>
  <c r="J39" i="2"/>
  <c r="J40" i="2"/>
  <c r="J41" i="2"/>
  <c r="J42" i="2"/>
  <c r="J43" i="2"/>
  <c r="J44" i="2"/>
  <c r="J28" i="2"/>
  <c r="J29" i="2"/>
  <c r="J30" i="2"/>
  <c r="J31" i="2"/>
  <c r="J32" i="2"/>
  <c r="J33" i="2"/>
  <c r="J34" i="2"/>
  <c r="J35" i="2"/>
  <c r="J36" i="2"/>
  <c r="J17" i="2"/>
  <c r="J18" i="2"/>
  <c r="J19" i="2" s="1"/>
  <c r="J20" i="2" s="1"/>
  <c r="J21" i="2" s="1"/>
  <c r="J22" i="2" s="1"/>
  <c r="J23" i="2" s="1"/>
  <c r="J24" i="2" s="1"/>
  <c r="J25" i="2" s="1"/>
  <c r="J26" i="2" s="1"/>
  <c r="J27" i="2" s="1"/>
  <c r="J8" i="2"/>
  <c r="J9" i="2"/>
  <c r="J10" i="2"/>
  <c r="J11" i="2"/>
  <c r="J12" i="2"/>
  <c r="J13" i="2"/>
  <c r="J14" i="2"/>
  <c r="J15" i="2"/>
  <c r="J16" i="2"/>
  <c r="J7" i="2"/>
  <c r="D13" i="2"/>
  <c r="D14" i="2" s="1"/>
  <c r="C14" i="2"/>
  <c r="C16" i="2" l="1"/>
  <c r="G12" i="2"/>
  <c r="F12" i="2"/>
  <c r="E12" i="2"/>
  <c r="D12" i="2"/>
  <c r="D16" i="2" s="1"/>
  <c r="C12" i="2"/>
  <c r="B12" i="2"/>
  <c r="C18" i="2" l="1"/>
  <c r="J5" i="2"/>
</calcChain>
</file>

<file path=xl/sharedStrings.xml><?xml version="1.0" encoding="utf-8"?>
<sst xmlns="http://schemas.openxmlformats.org/spreadsheetml/2006/main" count="17" uniqueCount="16">
  <si>
    <t>Инерция нагрузки (кг/м^2)</t>
  </si>
  <si>
    <t>Мотор</t>
  </si>
  <si>
    <t>Инерция мотора (кг/м^2)</t>
  </si>
  <si>
    <t>Приведенная инерция нагрузки (кг/м^2)</t>
  </si>
  <si>
    <t>Масса (кг)</t>
  </si>
  <si>
    <t>Масса полезной нагрузки</t>
  </si>
  <si>
    <t>кг</t>
  </si>
  <si>
    <t>Длина звена J2</t>
  </si>
  <si>
    <t>Длина звена J3</t>
  </si>
  <si>
    <t>м</t>
  </si>
  <si>
    <t>кг/м</t>
  </si>
  <si>
    <t>Линейная плотность профиля</t>
  </si>
  <si>
    <t>Передаточное число</t>
  </si>
  <si>
    <t>Отношение инерций</t>
  </si>
  <si>
    <t>Длина J2</t>
  </si>
  <si>
    <t>Длина 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</si>
</sst>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39EDE"/>
        <bgColor indexed="64"/>
      </patternFill>
    </fill>
    <fill>
      <patternFill patternType="solid">
        <fgColor rgb="FFFFABAD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CC6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0" fillId="0" borderId="1" xfId="0" applyBorder="1"/>
    <xf numFmtId="0" fontId="0" fillId="0" borderId="2" xfId="0" applyBorder="1"/>
    <xf numFmtId="0" fontId="0" fillId="4" borderId="3" xfId="0" applyFill="1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3" xfId="0" applyBorder="1"/>
    <xf numFmtId="0" fontId="0" fillId="6" borderId="1" xfId="0" applyFill="1" applyBorder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66"/>
      <color rgb="FF99FF33"/>
      <color rgb="FF66FFCC"/>
      <color rgb="FFFFABAD"/>
      <color rgb="FFD39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375FE-4792-406E-8475-30BC628FBC1A}">
  <dimension ref="A1:BI62"/>
  <sheetViews>
    <sheetView tabSelected="1" zoomScale="89" zoomScaleNormal="40" workbookViewId="0">
      <selection activeCell="C13" sqref="C13"/>
    </sheetView>
  </sheetViews>
  <sheetFormatPr defaultRowHeight="15.6" x14ac:dyDescent="0.3"/>
  <cols>
    <col min="1" max="1" width="38" customWidth="1"/>
    <col min="2" max="2" width="12.59765625" customWidth="1"/>
    <col min="3" max="3" width="17.5" customWidth="1"/>
    <col min="4" max="4" width="10.796875" customWidth="1"/>
    <col min="5" max="5" width="14.3984375" customWidth="1"/>
    <col min="6" max="6" width="11.8984375" customWidth="1"/>
    <col min="7" max="7" width="12.59765625" customWidth="1"/>
    <col min="19" max="20" width="11.8984375" bestFit="1" customWidth="1"/>
    <col min="55" max="55" width="11.8984375" bestFit="1" customWidth="1"/>
  </cols>
  <sheetData>
    <row r="1" spans="1:61" x14ac:dyDescent="0.3">
      <c r="A1" t="s">
        <v>11</v>
      </c>
      <c r="B1">
        <v>0.83</v>
      </c>
      <c r="C1" t="s">
        <v>10</v>
      </c>
    </row>
    <row r="3" spans="1:61" x14ac:dyDescent="0.3">
      <c r="K3" t="s">
        <v>14</v>
      </c>
    </row>
    <row r="4" spans="1:61" x14ac:dyDescent="0.3">
      <c r="A4" t="s">
        <v>5</v>
      </c>
      <c r="B4">
        <v>1</v>
      </c>
      <c r="C4" t="s">
        <v>6</v>
      </c>
    </row>
    <row r="5" spans="1:61" x14ac:dyDescent="0.3">
      <c r="A5" t="s">
        <v>7</v>
      </c>
      <c r="B5" s="1">
        <v>0.35</v>
      </c>
      <c r="C5" t="s">
        <v>9</v>
      </c>
      <c r="J5">
        <f>C18</f>
        <v>1.7442077759863013</v>
      </c>
      <c r="K5" s="2">
        <v>0.1</v>
      </c>
      <c r="L5" s="2">
        <f>K5+0.01</f>
        <v>0.11</v>
      </c>
      <c r="M5" s="2">
        <f t="shared" ref="M5:BI5" si="0">L5+0.01</f>
        <v>0.12</v>
      </c>
      <c r="N5" s="2">
        <f t="shared" si="0"/>
        <v>0.13</v>
      </c>
      <c r="O5" s="2">
        <f t="shared" si="0"/>
        <v>0.14000000000000001</v>
      </c>
      <c r="P5" s="2">
        <f t="shared" si="0"/>
        <v>0.15000000000000002</v>
      </c>
      <c r="Q5" s="2">
        <f t="shared" si="0"/>
        <v>0.16000000000000003</v>
      </c>
      <c r="R5" s="2">
        <f t="shared" si="0"/>
        <v>0.17000000000000004</v>
      </c>
      <c r="S5" s="2">
        <f t="shared" si="0"/>
        <v>0.18000000000000005</v>
      </c>
      <c r="T5" s="2">
        <f t="shared" si="0"/>
        <v>0.19000000000000006</v>
      </c>
      <c r="U5" s="2">
        <f t="shared" si="0"/>
        <v>0.20000000000000007</v>
      </c>
      <c r="V5" s="2">
        <f t="shared" si="0"/>
        <v>0.21000000000000008</v>
      </c>
      <c r="W5" s="2">
        <f t="shared" si="0"/>
        <v>0.22000000000000008</v>
      </c>
      <c r="X5" s="2">
        <f t="shared" si="0"/>
        <v>0.23000000000000009</v>
      </c>
      <c r="Y5" s="2">
        <f t="shared" si="0"/>
        <v>0.2400000000000001</v>
      </c>
      <c r="Z5" s="2">
        <f t="shared" si="0"/>
        <v>0.25000000000000011</v>
      </c>
      <c r="AA5" s="2">
        <f t="shared" si="0"/>
        <v>0.26000000000000012</v>
      </c>
      <c r="AB5" s="2">
        <f t="shared" si="0"/>
        <v>0.27000000000000013</v>
      </c>
      <c r="AC5" s="2">
        <f t="shared" si="0"/>
        <v>0.28000000000000014</v>
      </c>
      <c r="AD5" s="2">
        <f t="shared" si="0"/>
        <v>0.29000000000000015</v>
      </c>
      <c r="AE5" s="2">
        <f t="shared" si="0"/>
        <v>0.30000000000000016</v>
      </c>
      <c r="AF5" s="2">
        <f t="shared" si="0"/>
        <v>0.31000000000000016</v>
      </c>
      <c r="AG5" s="2">
        <f t="shared" si="0"/>
        <v>0.32000000000000017</v>
      </c>
      <c r="AH5" s="2">
        <f t="shared" si="0"/>
        <v>0.33000000000000018</v>
      </c>
      <c r="AI5" s="2">
        <f t="shared" si="0"/>
        <v>0.34000000000000019</v>
      </c>
      <c r="AJ5" s="2">
        <f t="shared" si="0"/>
        <v>0.3500000000000002</v>
      </c>
      <c r="AK5" s="2">
        <f>AJ5+0.01</f>
        <v>0.36000000000000021</v>
      </c>
      <c r="AL5" s="2">
        <f t="shared" si="0"/>
        <v>0.37000000000000022</v>
      </c>
      <c r="AM5" s="2">
        <f>AL5+0.01</f>
        <v>0.38000000000000023</v>
      </c>
      <c r="AN5" s="2">
        <f t="shared" si="0"/>
        <v>0.39000000000000024</v>
      </c>
      <c r="AO5" s="2">
        <f t="shared" si="0"/>
        <v>0.40000000000000024</v>
      </c>
      <c r="AP5" s="2">
        <f t="shared" si="0"/>
        <v>0.41000000000000025</v>
      </c>
      <c r="AQ5" s="2">
        <f t="shared" si="0"/>
        <v>0.42000000000000026</v>
      </c>
      <c r="AR5" s="2">
        <f t="shared" si="0"/>
        <v>0.43000000000000027</v>
      </c>
      <c r="AS5" s="2">
        <f t="shared" si="0"/>
        <v>0.44000000000000028</v>
      </c>
      <c r="AT5" s="2">
        <f t="shared" si="0"/>
        <v>0.45000000000000029</v>
      </c>
      <c r="AU5" s="2">
        <f t="shared" si="0"/>
        <v>0.4600000000000003</v>
      </c>
      <c r="AV5" s="2">
        <f t="shared" si="0"/>
        <v>0.47000000000000031</v>
      </c>
      <c r="AW5" s="2">
        <f t="shared" si="0"/>
        <v>0.48000000000000032</v>
      </c>
      <c r="AX5" s="2">
        <f t="shared" si="0"/>
        <v>0.49000000000000032</v>
      </c>
      <c r="AY5" s="2">
        <f t="shared" si="0"/>
        <v>0.50000000000000033</v>
      </c>
      <c r="AZ5" s="2">
        <f t="shared" si="0"/>
        <v>0.51000000000000034</v>
      </c>
      <c r="BA5" s="2">
        <f t="shared" si="0"/>
        <v>0.52000000000000035</v>
      </c>
      <c r="BB5" s="2">
        <f t="shared" si="0"/>
        <v>0.53000000000000036</v>
      </c>
      <c r="BC5" s="2">
        <f t="shared" si="0"/>
        <v>0.54000000000000037</v>
      </c>
      <c r="BD5" s="2">
        <f t="shared" si="0"/>
        <v>0.55000000000000038</v>
      </c>
      <c r="BE5" s="2">
        <f t="shared" si="0"/>
        <v>0.56000000000000039</v>
      </c>
      <c r="BF5" s="2">
        <f t="shared" si="0"/>
        <v>0.5700000000000004</v>
      </c>
      <c r="BG5" s="2">
        <f t="shared" si="0"/>
        <v>0.5800000000000004</v>
      </c>
      <c r="BH5" s="2">
        <f t="shared" si="0"/>
        <v>0.59000000000000041</v>
      </c>
      <c r="BI5" s="2">
        <f t="shared" si="0"/>
        <v>0.60000000000000042</v>
      </c>
    </row>
    <row r="6" spans="1:61" x14ac:dyDescent="0.3">
      <c r="A6" t="s">
        <v>8</v>
      </c>
      <c r="B6" s="1">
        <v>0.37</v>
      </c>
      <c r="C6" t="s">
        <v>9</v>
      </c>
      <c r="H6" t="s">
        <v>15</v>
      </c>
      <c r="J6" s="2">
        <v>0.1</v>
      </c>
      <c r="K6">
        <f t="dataTable" ref="K6:BI56" dt2D="1" dtr="1" r1="B5" r2="B6"/>
        <v>1.8458714084274905</v>
      </c>
      <c r="L6">
        <v>2.0651021755452597</v>
      </c>
      <c r="M6">
        <v>2.2982613218085586</v>
      </c>
      <c r="N6">
        <v>2.5454537238815531</v>
      </c>
      <c r="O6">
        <v>2.8067842584284071</v>
      </c>
      <c r="P6">
        <v>3.082357802113282</v>
      </c>
      <c r="Q6">
        <v>3.372279231600344</v>
      </c>
      <c r="R6">
        <v>3.6766534235537569</v>
      </c>
      <c r="S6">
        <v>3.995585254637684</v>
      </c>
      <c r="T6">
        <v>4.32917960151629</v>
      </c>
      <c r="U6">
        <v>4.6775413408537379</v>
      </c>
      <c r="V6">
        <v>5.0407753493141918</v>
      </c>
      <c r="W6">
        <v>5.4189865035618157</v>
      </c>
      <c r="X6">
        <v>5.8122796802607741</v>
      </c>
      <c r="Y6">
        <v>6.220759756075231</v>
      </c>
      <c r="Z6">
        <v>6.6445316076693484</v>
      </c>
      <c r="AA6">
        <v>7.0837001117072935</v>
      </c>
      <c r="AB6">
        <v>7.5383701448532268</v>
      </c>
      <c r="AC6">
        <v>8.0086465837713163</v>
      </c>
      <c r="AD6">
        <v>8.4946343051257216</v>
      </c>
      <c r="AE6">
        <v>8.9964381855806099</v>
      </c>
      <c r="AF6">
        <v>9.5141631018001416</v>
      </c>
      <c r="AG6">
        <v>10.047913930448486</v>
      </c>
      <c r="AH6">
        <v>10.597795548189801</v>
      </c>
      <c r="AI6">
        <v>11.163912831688254</v>
      </c>
      <c r="AJ6">
        <v>11.746370657608008</v>
      </c>
      <c r="AK6">
        <v>12.345273902613229</v>
      </c>
      <c r="AL6">
        <v>12.960727443368073</v>
      </c>
      <c r="AM6">
        <v>13.59283615653672</v>
      </c>
      <c r="AN6">
        <v>14.24170491878332</v>
      </c>
      <c r="AO6">
        <v>14.90743860677204</v>
      </c>
      <c r="AP6">
        <v>15.590142097167044</v>
      </c>
      <c r="AQ6">
        <v>16.2899202666325</v>
      </c>
      <c r="AR6">
        <v>17.006877991832564</v>
      </c>
      <c r="AS6">
        <v>17.74112014943141</v>
      </c>
      <c r="AT6">
        <v>18.492751616093191</v>
      </c>
      <c r="AU6">
        <v>19.261877268482081</v>
      </c>
      <c r="AV6">
        <v>20.048601983262238</v>
      </c>
      <c r="AW6">
        <v>20.853030637097831</v>
      </c>
      <c r="AX6">
        <v>21.675268106653011</v>
      </c>
      <c r="AY6" s="14">
        <v>22.515419268591959</v>
      </c>
      <c r="AZ6" s="14">
        <v>23.373588999578836</v>
      </c>
      <c r="BA6">
        <v>24.24988217627779</v>
      </c>
      <c r="BB6">
        <v>25.144403675353004</v>
      </c>
      <c r="BC6" s="13">
        <v>26.057258373468631</v>
      </c>
      <c r="BD6" s="13">
        <v>26.988551147288838</v>
      </c>
      <c r="BE6">
        <v>27.938386873477789</v>
      </c>
      <c r="BF6">
        <v>28.906870428699644</v>
      </c>
      <c r="BG6" s="3">
        <v>29.894106689618578</v>
      </c>
      <c r="BH6" s="3">
        <v>30.900200532898747</v>
      </c>
      <c r="BI6">
        <v>31.925256835204312</v>
      </c>
    </row>
    <row r="7" spans="1:61" x14ac:dyDescent="0.3">
      <c r="J7" s="2">
        <f>J6+0.01</f>
        <v>0.11</v>
      </c>
      <c r="K7">
        <v>1.6589405566129876</v>
      </c>
      <c r="L7">
        <v>1.8464721401262034</v>
      </c>
      <c r="M7">
        <v>2.0454930291795081</v>
      </c>
      <c r="N7">
        <v>2.2560895183276628</v>
      </c>
      <c r="O7">
        <v>2.4783479021254298</v>
      </c>
      <c r="P7">
        <v>2.7123544751275723</v>
      </c>
      <c r="Q7">
        <v>2.9581955318888515</v>
      </c>
      <c r="R7">
        <v>3.2159573669640302</v>
      </c>
      <c r="S7">
        <v>3.4857262749078726</v>
      </c>
      <c r="T7">
        <v>3.7675885502751374</v>
      </c>
      <c r="U7">
        <v>4.0616304876205893</v>
      </c>
      <c r="V7">
        <v>4.3679383814989921</v>
      </c>
      <c r="W7">
        <v>4.6865985264651044</v>
      </c>
      <c r="X7">
        <v>5.0176972170736915</v>
      </c>
      <c r="Y7">
        <v>5.361320747879514</v>
      </c>
      <c r="Z7">
        <v>5.717555413437335</v>
      </c>
      <c r="AA7">
        <v>6.086487508301917</v>
      </c>
      <c r="AB7">
        <v>6.4682033270280233</v>
      </c>
      <c r="AC7">
        <v>6.8627891641704153</v>
      </c>
      <c r="AD7">
        <v>7.2703313142838546</v>
      </c>
      <c r="AE7">
        <v>7.6909160719231036</v>
      </c>
      <c r="AF7">
        <v>8.1246297316429263</v>
      </c>
      <c r="AG7">
        <v>8.5715585879980836</v>
      </c>
      <c r="AH7">
        <v>9.0317889355433394</v>
      </c>
      <c r="AI7">
        <v>9.5054070688334544</v>
      </c>
      <c r="AJ7">
        <v>9.9924992824231911</v>
      </c>
      <c r="AK7">
        <v>10.493151870867312</v>
      </c>
      <c r="AL7">
        <v>11.007451128720581</v>
      </c>
      <c r="AM7">
        <v>11.535483350537758</v>
      </c>
      <c r="AN7">
        <v>12.07733483087361</v>
      </c>
      <c r="AO7">
        <v>12.633091864282891</v>
      </c>
      <c r="AP7">
        <v>13.202840745320369</v>
      </c>
      <c r="AQ7">
        <v>13.786667768540811</v>
      </c>
      <c r="AR7">
        <v>14.384659228498972</v>
      </c>
      <c r="AS7">
        <v>14.996901419749612</v>
      </c>
      <c r="AT7">
        <v>15.623480636847502</v>
      </c>
      <c r="AU7">
        <v>16.264483174347397</v>
      </c>
      <c r="AV7">
        <v>16.919995326804067</v>
      </c>
      <c r="AW7">
        <v>17.590103388772263</v>
      </c>
      <c r="AX7" s="14">
        <v>18.274893654806768</v>
      </c>
      <c r="AY7" s="14">
        <v>18.974452419462317</v>
      </c>
      <c r="AZ7">
        <v>19.688865977293691</v>
      </c>
      <c r="BA7">
        <v>20.418220622855642</v>
      </c>
      <c r="BB7" s="13">
        <v>21.162602650702947</v>
      </c>
      <c r="BC7" s="13">
        <v>21.922098355390357</v>
      </c>
      <c r="BD7">
        <v>22.696794031472631</v>
      </c>
      <c r="BE7">
        <v>23.486775973504542</v>
      </c>
      <c r="BF7" s="3">
        <v>24.292130476040846</v>
      </c>
      <c r="BG7" s="3">
        <v>25.112943833636301</v>
      </c>
      <c r="BH7" s="8">
        <v>25.949302340845684</v>
      </c>
      <c r="BI7">
        <v>26.801292292223742</v>
      </c>
    </row>
    <row r="8" spans="1:61" x14ac:dyDescent="0.3">
      <c r="A8" t="s">
        <v>12</v>
      </c>
      <c r="B8">
        <v>50</v>
      </c>
      <c r="J8" s="2">
        <f t="shared" ref="J8:J56" si="1">J7+0.01</f>
        <v>0.12</v>
      </c>
      <c r="K8">
        <v>1.5116012021889664</v>
      </c>
      <c r="L8">
        <v>1.6745163669766325</v>
      </c>
      <c r="M8">
        <v>1.8470676222217379</v>
      </c>
      <c r="N8">
        <v>2.0293271624939795</v>
      </c>
      <c r="O8">
        <v>2.2213671823630547</v>
      </c>
      <c r="P8">
        <v>2.4232598763986615</v>
      </c>
      <c r="Q8">
        <v>2.6350774391704972</v>
      </c>
      <c r="R8">
        <v>2.8568920652482599</v>
      </c>
      <c r="S8">
        <v>3.0887759492016471</v>
      </c>
      <c r="T8">
        <v>3.3308012856003568</v>
      </c>
      <c r="U8">
        <v>3.5830402690140866</v>
      </c>
      <c r="V8">
        <v>3.8455650940125343</v>
      </c>
      <c r="W8">
        <v>4.1184479551653954</v>
      </c>
      <c r="X8">
        <v>4.4017610470423723</v>
      </c>
      <c r="Y8">
        <v>4.6955765642131579</v>
      </c>
      <c r="Z8">
        <v>4.9999667012474527</v>
      </c>
      <c r="AA8">
        <v>5.3150036527149531</v>
      </c>
      <c r="AB8">
        <v>5.6407596131853559</v>
      </c>
      <c r="AC8">
        <v>5.9773067772283612</v>
      </c>
      <c r="AD8">
        <v>6.3247173394136667</v>
      </c>
      <c r="AE8">
        <v>6.683063494310967</v>
      </c>
      <c r="AF8">
        <v>7.0524174364899617</v>
      </c>
      <c r="AG8">
        <v>7.4328513605203499</v>
      </c>
      <c r="AH8">
        <v>7.8244374609718257</v>
      </c>
      <c r="AI8">
        <v>8.2272479324140892</v>
      </c>
      <c r="AJ8">
        <v>8.6413549694168399</v>
      </c>
      <c r="AK8">
        <v>9.0668307665497725</v>
      </c>
      <c r="AL8">
        <v>9.5037475183825837</v>
      </c>
      <c r="AM8">
        <v>9.9521774194849755</v>
      </c>
      <c r="AN8">
        <v>10.412192664426639</v>
      </c>
      <c r="AO8">
        <v>10.883865447777278</v>
      </c>
      <c r="AP8">
        <v>11.36726796410659</v>
      </c>
      <c r="AQ8">
        <v>11.862472407984269</v>
      </c>
      <c r="AR8">
        <v>12.369550973980013</v>
      </c>
      <c r="AS8">
        <v>12.888575856663525</v>
      </c>
      <c r="AT8">
        <v>13.419619250604496</v>
      </c>
      <c r="AU8">
        <v>13.962753350372626</v>
      </c>
      <c r="AV8">
        <v>14.518050350537616</v>
      </c>
      <c r="AW8" s="14">
        <v>15.085582445669159</v>
      </c>
      <c r="AX8" s="14">
        <v>15.665421830336957</v>
      </c>
      <c r="AY8">
        <v>16.257640699110702</v>
      </c>
      <c r="AZ8">
        <v>16.862311246560093</v>
      </c>
      <c r="BA8" s="13">
        <v>17.479505667254831</v>
      </c>
      <c r="BB8" s="13">
        <v>18.109296155764614</v>
      </c>
      <c r="BC8">
        <v>18.751754906659137</v>
      </c>
      <c r="BD8">
        <v>19.4069541145081</v>
      </c>
      <c r="BE8" s="3">
        <v>20.074965973881195</v>
      </c>
      <c r="BF8" s="3">
        <v>20.755862679348123</v>
      </c>
      <c r="BG8" s="8">
        <v>21.449716425478584</v>
      </c>
      <c r="BH8">
        <v>22.156599406842275</v>
      </c>
      <c r="BI8">
        <v>22.8765838180089</v>
      </c>
    </row>
    <row r="9" spans="1:61" x14ac:dyDescent="0.3">
      <c r="J9" s="2">
        <f t="shared" si="1"/>
        <v>0.13</v>
      </c>
      <c r="K9">
        <v>1.3929196753938582</v>
      </c>
      <c r="L9">
        <v>1.5362833455102469</v>
      </c>
      <c r="M9">
        <v>1.6878423456914007</v>
      </c>
      <c r="N9">
        <v>1.8476579232266566</v>
      </c>
      <c r="O9">
        <v>2.0157913254053512</v>
      </c>
      <c r="P9">
        <v>2.1923037995168215</v>
      </c>
      <c r="Q9">
        <v>2.3772565928504048</v>
      </c>
      <c r="R9">
        <v>2.5707109526954373</v>
      </c>
      <c r="S9">
        <v>2.772728126341256</v>
      </c>
      <c r="T9">
        <v>2.9833693610771976</v>
      </c>
      <c r="U9">
        <v>3.2026959041926006</v>
      </c>
      <c r="V9">
        <v>3.4307690029767994</v>
      </c>
      <c r="W9">
        <v>3.6676499047191329</v>
      </c>
      <c r="X9">
        <v>3.9133998567089368</v>
      </c>
      <c r="Y9">
        <v>4.168080106235549</v>
      </c>
      <c r="Z9">
        <v>4.4317519005883046</v>
      </c>
      <c r="AA9">
        <v>4.7044764870565432</v>
      </c>
      <c r="AB9">
        <v>4.9863151129295993</v>
      </c>
      <c r="AC9">
        <v>5.2773290254968108</v>
      </c>
      <c r="AD9">
        <v>5.5775794720475149</v>
      </c>
      <c r="AE9">
        <v>5.8871276998710469</v>
      </c>
      <c r="AF9">
        <v>6.2060349562567456</v>
      </c>
      <c r="AG9">
        <v>6.5343624884939473</v>
      </c>
      <c r="AH9">
        <v>6.872171543871989</v>
      </c>
      <c r="AI9">
        <v>7.2195233696802052</v>
      </c>
      <c r="AJ9">
        <v>7.5764792132079375</v>
      </c>
      <c r="AK9">
        <v>7.9431003217445202</v>
      </c>
      <c r="AL9">
        <v>8.3194479425792895</v>
      </c>
      <c r="AM9">
        <v>8.7055833230015818</v>
      </c>
      <c r="AN9">
        <v>9.1015677103007366</v>
      </c>
      <c r="AO9">
        <v>9.5074623517660886</v>
      </c>
      <c r="AP9">
        <v>9.9233284946869773</v>
      </c>
      <c r="AQ9">
        <v>10.349227386352734</v>
      </c>
      <c r="AR9">
        <v>10.785220274052703</v>
      </c>
      <c r="AS9">
        <v>11.231368405076216</v>
      </c>
      <c r="AT9">
        <v>11.687733026712612</v>
      </c>
      <c r="AU9">
        <v>12.154375386251223</v>
      </c>
      <c r="AV9" s="14">
        <v>12.631356730981397</v>
      </c>
      <c r="AW9" s="14">
        <v>13.118738308192459</v>
      </c>
      <c r="AX9">
        <v>13.616581365173753</v>
      </c>
      <c r="AY9">
        <v>14.124947149214616</v>
      </c>
      <c r="AZ9" s="13">
        <v>14.643896907604379</v>
      </c>
      <c r="BA9" s="13">
        <v>15.173491887632384</v>
      </c>
      <c r="BB9">
        <v>15.713793336587967</v>
      </c>
      <c r="BC9">
        <v>16.264862501760465</v>
      </c>
      <c r="BD9" s="3">
        <v>16.826760630439214</v>
      </c>
      <c r="BE9" s="3">
        <v>17.39954896991355</v>
      </c>
      <c r="BF9" s="8">
        <v>17.983288767472811</v>
      </c>
      <c r="BG9">
        <v>18.578041270406334</v>
      </c>
      <c r="BH9">
        <v>19.183867726003456</v>
      </c>
      <c r="BI9">
        <v>19.800829381553513</v>
      </c>
    </row>
    <row r="10" spans="1:61" x14ac:dyDescent="0.3">
      <c r="A10" t="s">
        <v>1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J10" s="2">
        <f t="shared" si="1"/>
        <v>0.14000000000000001</v>
      </c>
      <c r="K10">
        <v>1.2955630135616902</v>
      </c>
      <c r="L10">
        <v>1.4231005052957482</v>
      </c>
      <c r="M10">
        <v>1.5576912977471755</v>
      </c>
      <c r="N10">
        <v>1.6993879723320573</v>
      </c>
      <c r="O10">
        <v>1.8482431104664763</v>
      </c>
      <c r="P10">
        <v>2.0043092935665179</v>
      </c>
      <c r="Q10">
        <v>2.167639103048264</v>
      </c>
      <c r="R10">
        <v>2.338285120327801</v>
      </c>
      <c r="S10">
        <v>2.5162999268212132</v>
      </c>
      <c r="T10">
        <v>2.7017361039445826</v>
      </c>
      <c r="U10">
        <v>2.8946462331139937</v>
      </c>
      <c r="V10">
        <v>3.0950828957455321</v>
      </c>
      <c r="W10">
        <v>3.3030986732552812</v>
      </c>
      <c r="X10">
        <v>3.518746147059324</v>
      </c>
      <c r="Y10">
        <v>3.7420778985737457</v>
      </c>
      <c r="Z10">
        <v>3.9731465092146308</v>
      </c>
      <c r="AA10">
        <v>4.2120045603980625</v>
      </c>
      <c r="AB10">
        <v>4.4587046335401261</v>
      </c>
      <c r="AC10">
        <v>4.7132993100569047</v>
      </c>
      <c r="AD10">
        <v>4.9758411713644817</v>
      </c>
      <c r="AE10">
        <v>5.2463827988789431</v>
      </c>
      <c r="AF10">
        <v>5.5249767740163698</v>
      </c>
      <c r="AG10">
        <v>5.8116756781928496</v>
      </c>
      <c r="AH10">
        <v>6.106532092824466</v>
      </c>
      <c r="AI10">
        <v>6.4095985993273006</v>
      </c>
      <c r="AJ10">
        <v>6.7209277791174395</v>
      </c>
      <c r="AK10">
        <v>7.0405722136109663</v>
      </c>
      <c r="AL10">
        <v>7.3685844842239643</v>
      </c>
      <c r="AM10">
        <v>7.7050171723725205</v>
      </c>
      <c r="AN10">
        <v>8.0499228594727139</v>
      </c>
      <c r="AO10">
        <v>8.403354126940636</v>
      </c>
      <c r="AP10">
        <v>8.7653635561923622</v>
      </c>
      <c r="AQ10">
        <v>9.1360037286439848</v>
      </c>
      <c r="AR10">
        <v>9.515327225711582</v>
      </c>
      <c r="AS10">
        <v>9.9033866288112407</v>
      </c>
      <c r="AT10">
        <v>10.300234519359043</v>
      </c>
      <c r="AU10" s="14">
        <v>10.705923478771073</v>
      </c>
      <c r="AV10" s="14">
        <v>11.120506088463419</v>
      </c>
      <c r="AW10">
        <v>11.54403492985216</v>
      </c>
      <c r="AX10">
        <v>11.976562584353383</v>
      </c>
      <c r="AY10" s="13">
        <v>12.418141633383172</v>
      </c>
      <c r="AZ10" s="13">
        <v>12.86882465835761</v>
      </c>
      <c r="BA10">
        <v>13.328664240692781</v>
      </c>
      <c r="BB10">
        <v>13.79771296180477</v>
      </c>
      <c r="BC10" s="3">
        <v>14.276023403109663</v>
      </c>
      <c r="BD10" s="3">
        <v>14.76364814602354</v>
      </c>
      <c r="BE10" s="8">
        <v>15.260639771962486</v>
      </c>
      <c r="BF10">
        <v>15.767050862342584</v>
      </c>
      <c r="BG10">
        <v>16.282933998579924</v>
      </c>
      <c r="BH10">
        <v>16.808341762090585</v>
      </c>
      <c r="BI10">
        <v>17.343326734290649</v>
      </c>
    </row>
    <row r="11" spans="1:61" x14ac:dyDescent="0.3">
      <c r="A11" t="s">
        <v>4</v>
      </c>
      <c r="B11">
        <v>2.5</v>
      </c>
      <c r="C11">
        <v>2.5</v>
      </c>
      <c r="D11">
        <v>1.1499999999999999</v>
      </c>
      <c r="E11">
        <v>0.8</v>
      </c>
      <c r="F11">
        <v>0.8</v>
      </c>
      <c r="G11">
        <v>0.8</v>
      </c>
      <c r="J11" s="2">
        <f t="shared" si="1"/>
        <v>0.15000000000000002</v>
      </c>
      <c r="K11">
        <v>1.2144503871732617</v>
      </c>
      <c r="L11">
        <v>1.328967922205001</v>
      </c>
      <c r="M11">
        <v>1.4496183693032672</v>
      </c>
      <c r="N11">
        <v>1.5764473351788644</v>
      </c>
      <c r="O11">
        <v>1.7095004265425962</v>
      </c>
      <c r="P11">
        <v>1.8488232501052668</v>
      </c>
      <c r="Q11">
        <v>1.9944614125776812</v>
      </c>
      <c r="R11">
        <v>2.1464605206706429</v>
      </c>
      <c r="S11">
        <v>2.304866181094956</v>
      </c>
      <c r="T11">
        <v>2.4697240005614245</v>
      </c>
      <c r="U11">
        <v>2.6410795857808522</v>
      </c>
      <c r="V11">
        <v>2.8189785434640444</v>
      </c>
      <c r="W11">
        <v>3.0034664803218041</v>
      </c>
      <c r="X11">
        <v>3.1945890030649369</v>
      </c>
      <c r="Y11">
        <v>3.3923917184042445</v>
      </c>
      <c r="Z11">
        <v>3.5969202330505325</v>
      </c>
      <c r="AA11">
        <v>3.8082201537146054</v>
      </c>
      <c r="AB11">
        <v>4.026337087107267</v>
      </c>
      <c r="AC11">
        <v>4.2513166399393212</v>
      </c>
      <c r="AD11">
        <v>4.4832044189215718</v>
      </c>
      <c r="AE11">
        <v>4.7220460307648224</v>
      </c>
      <c r="AF11">
        <v>4.96788708217988</v>
      </c>
      <c r="AG11">
        <v>5.2207731798775461</v>
      </c>
      <c r="AH11">
        <v>5.4807499305686234</v>
      </c>
      <c r="AI11">
        <v>5.7478629409639197</v>
      </c>
      <c r="AJ11">
        <v>6.0221578177742385</v>
      </c>
      <c r="AK11">
        <v>6.3036801677103824</v>
      </c>
      <c r="AL11">
        <v>6.5924755974831557</v>
      </c>
      <c r="AM11">
        <v>6.8885897138033609</v>
      </c>
      <c r="AN11">
        <v>7.192068123381806</v>
      </c>
      <c r="AO11">
        <v>7.5029564329292944</v>
      </c>
      <c r="AP11">
        <v>7.8213002491566268</v>
      </c>
      <c r="AQ11">
        <v>8.1471451787746112</v>
      </c>
      <c r="AR11">
        <v>8.4805368284940474</v>
      </c>
      <c r="AS11">
        <v>8.8215208050257452</v>
      </c>
      <c r="AT11" s="14">
        <v>9.1701427150805035</v>
      </c>
      <c r="AU11" s="14">
        <v>9.5264481653691284</v>
      </c>
      <c r="AV11">
        <v>9.8904827626024279</v>
      </c>
      <c r="AW11">
        <v>10.262292113491197</v>
      </c>
      <c r="AX11" s="13">
        <v>10.64192182474625</v>
      </c>
      <c r="AY11" s="13">
        <v>11.029417503078385</v>
      </c>
      <c r="AZ11">
        <v>11.424824755198404</v>
      </c>
      <c r="BA11">
        <v>11.828189187817117</v>
      </c>
      <c r="BB11" s="3">
        <v>12.239556407645328</v>
      </c>
      <c r="BC11" s="3">
        <v>12.658972021393836</v>
      </c>
      <c r="BD11" s="8">
        <v>13.086481635773449</v>
      </c>
      <c r="BE11">
        <v>13.52213085749497</v>
      </c>
      <c r="BF11">
        <v>13.965965293269203</v>
      </c>
      <c r="BG11">
        <v>14.41803054980695</v>
      </c>
      <c r="BH11">
        <v>14.87837223381902</v>
      </c>
      <c r="BI11">
        <v>15.34703595201621</v>
      </c>
    </row>
    <row r="12" spans="1:61" x14ac:dyDescent="0.3">
      <c r="A12" t="s">
        <v>2</v>
      </c>
      <c r="B12">
        <f>0.000174</f>
        <v>1.74E-4</v>
      </c>
      <c r="C12">
        <f>0.000174</f>
        <v>1.74E-4</v>
      </c>
      <c r="D12">
        <f>0.000069</f>
        <v>6.8999999999999997E-5</v>
      </c>
      <c r="E12">
        <f>0.000009139</f>
        <v>9.1390000000000001E-6</v>
      </c>
      <c r="F12">
        <f>0.000009139</f>
        <v>9.1390000000000001E-6</v>
      </c>
      <c r="G12">
        <f>0.000009139</f>
        <v>9.1390000000000001E-6</v>
      </c>
      <c r="J12" s="2">
        <f t="shared" si="1"/>
        <v>0.16000000000000003</v>
      </c>
      <c r="K12">
        <v>1.1459623913047352</v>
      </c>
      <c r="L12">
        <v>1.2496176591390991</v>
      </c>
      <c r="M12">
        <v>1.3586533383763413</v>
      </c>
      <c r="N12">
        <v>1.4731093409072864</v>
      </c>
      <c r="O12">
        <v>1.593025578622759</v>
      </c>
      <c r="P12">
        <v>1.7184419634135844</v>
      </c>
      <c r="Q12">
        <v>1.8493984071705869</v>
      </c>
      <c r="R12">
        <v>1.9859348217845916</v>
      </c>
      <c r="S12">
        <v>2.1280911191464233</v>
      </c>
      <c r="T12">
        <v>2.2759072111469076</v>
      </c>
      <c r="U12">
        <v>2.4294230096768672</v>
      </c>
      <c r="V12">
        <v>2.5886784266271285</v>
      </c>
      <c r="W12">
        <v>2.7537133738885164</v>
      </c>
      <c r="X12">
        <v>2.9245677633518561</v>
      </c>
      <c r="Y12">
        <v>3.1012815069079704</v>
      </c>
      <c r="Z12">
        <v>3.283894516447686</v>
      </c>
      <c r="AA12">
        <v>3.4724467038618276</v>
      </c>
      <c r="AB12">
        <v>3.6669779810412191</v>
      </c>
      <c r="AC12">
        <v>3.8675282598766856</v>
      </c>
      <c r="AD12">
        <v>4.0741374522590519</v>
      </c>
      <c r="AE12">
        <v>4.2868454700791441</v>
      </c>
      <c r="AF12">
        <v>4.5056922252277847</v>
      </c>
      <c r="AG12">
        <v>4.7307176295958007</v>
      </c>
      <c r="AH12">
        <v>4.9619615950740155</v>
      </c>
      <c r="AI12">
        <v>5.1994640335532543</v>
      </c>
      <c r="AJ12">
        <v>5.4432648569243414</v>
      </c>
      <c r="AK12">
        <v>5.6934039770781038</v>
      </c>
      <c r="AL12">
        <v>5.9499213059053639</v>
      </c>
      <c r="AM12">
        <v>6.2128567552969471</v>
      </c>
      <c r="AN12">
        <v>6.4822502371436777</v>
      </c>
      <c r="AO12">
        <v>6.7581416633363833</v>
      </c>
      <c r="AP12">
        <v>7.0405709457658849</v>
      </c>
      <c r="AQ12">
        <v>7.3295779963230103</v>
      </c>
      <c r="AR12">
        <v>7.625202726898582</v>
      </c>
      <c r="AS12" s="14">
        <v>7.927485049383427</v>
      </c>
      <c r="AT12" s="14">
        <v>8.2364648756683696</v>
      </c>
      <c r="AU12">
        <v>8.5521821176442305</v>
      </c>
      <c r="AV12">
        <v>8.874676687201843</v>
      </c>
      <c r="AW12" s="13">
        <v>9.2039884962320233</v>
      </c>
      <c r="AX12" s="13">
        <v>9.540157456625602</v>
      </c>
      <c r="AY12">
        <v>9.8832234802734025</v>
      </c>
      <c r="AZ12">
        <v>10.233226479066246</v>
      </c>
      <c r="BA12" s="3">
        <v>10.590206364894961</v>
      </c>
      <c r="BB12" s="3">
        <v>10.954203049650374</v>
      </c>
      <c r="BC12" s="8">
        <v>11.325256445223305</v>
      </c>
      <c r="BD12">
        <v>11.703406463504582</v>
      </c>
      <c r="BE12">
        <v>12.088693016385029</v>
      </c>
      <c r="BF12">
        <v>12.481156015755472</v>
      </c>
      <c r="BG12">
        <v>12.880835373506734</v>
      </c>
      <c r="BH12">
        <v>13.287771001529638</v>
      </c>
      <c r="BI12">
        <v>13.702002811715015</v>
      </c>
    </row>
    <row r="13" spans="1:61" x14ac:dyDescent="0.3">
      <c r="A13" t="s">
        <v>0</v>
      </c>
      <c r="C13">
        <f>(D11+B5*B1)*B5^2 + (F11+B6*B1 +B4)*(B5+B6)^2</f>
        <v>1.2687818899999999</v>
      </c>
      <c r="D13">
        <f>(B6*B1+G11 +B4)*B6^2</f>
        <v>0.28846199</v>
      </c>
      <c r="J13" s="2">
        <f t="shared" si="1"/>
        <v>0.17000000000000004</v>
      </c>
      <c r="K13">
        <v>1.0874582827471513</v>
      </c>
      <c r="L13">
        <v>1.1819401349457546</v>
      </c>
      <c r="M13">
        <v>1.2811793815148815</v>
      </c>
      <c r="N13">
        <v>1.385211225759087</v>
      </c>
      <c r="O13">
        <v>1.4940708709829251</v>
      </c>
      <c r="P13">
        <v>1.6077935204909508</v>
      </c>
      <c r="Q13">
        <v>1.7264143775877185</v>
      </c>
      <c r="R13">
        <v>1.8499686455777828</v>
      </c>
      <c r="S13">
        <v>1.9784915277656983</v>
      </c>
      <c r="T13">
        <v>2.1120182274560197</v>
      </c>
      <c r="U13">
        <v>2.2505839479533005</v>
      </c>
      <c r="V13">
        <v>2.3942238925620964</v>
      </c>
      <c r="W13">
        <v>2.5429732645869616</v>
      </c>
      <c r="X13">
        <v>2.696867267332451</v>
      </c>
      <c r="Y13">
        <v>2.8559411041031182</v>
      </c>
      <c r="Z13">
        <v>3.0202299782035187</v>
      </c>
      <c r="AA13">
        <v>3.1897690929382065</v>
      </c>
      <c r="AB13">
        <v>3.3645936516117363</v>
      </c>
      <c r="AC13">
        <v>3.5447388575286625</v>
      </c>
      <c r="AD13">
        <v>3.73023991399354</v>
      </c>
      <c r="AE13">
        <v>3.9211320243109236</v>
      </c>
      <c r="AF13">
        <v>4.1174503917853658</v>
      </c>
      <c r="AG13">
        <v>4.3192302197214243</v>
      </c>
      <c r="AH13">
        <v>4.526506711423651</v>
      </c>
      <c r="AI13">
        <v>4.7393150701966018</v>
      </c>
      <c r="AJ13">
        <v>4.9576904993448307</v>
      </c>
      <c r="AK13">
        <v>5.1816682021728937</v>
      </c>
      <c r="AL13">
        <v>5.4112833819853439</v>
      </c>
      <c r="AM13">
        <v>5.6465712420867353</v>
      </c>
      <c r="AN13">
        <v>5.887566985781624</v>
      </c>
      <c r="AO13">
        <v>6.1343058163745638</v>
      </c>
      <c r="AP13">
        <v>6.3868229371701091</v>
      </c>
      <c r="AQ13">
        <v>6.6451535514728137</v>
      </c>
      <c r="AR13" s="14">
        <v>6.9093328625872337</v>
      </c>
      <c r="AS13" s="14">
        <v>7.1793960738179221</v>
      </c>
      <c r="AT13">
        <v>7.455378388469434</v>
      </c>
      <c r="AU13">
        <v>7.7373150098463253</v>
      </c>
      <c r="AV13" s="13">
        <v>8.0252411412531526</v>
      </c>
      <c r="AW13" s="13">
        <v>8.3191919859944647</v>
      </c>
      <c r="AX13">
        <v>8.6192027473748176</v>
      </c>
      <c r="AY13">
        <v>8.9253086286987688</v>
      </c>
      <c r="AZ13" s="3">
        <v>9.2375448332708672</v>
      </c>
      <c r="BA13" s="3">
        <v>9.5559465643956738</v>
      </c>
      <c r="BB13" s="8">
        <v>9.880549025377741</v>
      </c>
      <c r="BC13">
        <v>10.211387419521623</v>
      </c>
      <c r="BD13">
        <v>10.548496950131875</v>
      </c>
      <c r="BE13">
        <v>10.891912820513049</v>
      </c>
      <c r="BF13">
        <v>11.241670233969703</v>
      </c>
      <c r="BG13">
        <v>11.597804393806388</v>
      </c>
      <c r="BH13">
        <v>11.96035050332766</v>
      </c>
      <c r="BI13">
        <v>12.329343765838077</v>
      </c>
    </row>
    <row r="14" spans="1:61" x14ac:dyDescent="0.3">
      <c r="A14" t="s">
        <v>3</v>
      </c>
      <c r="C14">
        <f>C13/B8^2</f>
        <v>5.0751275599999991E-4</v>
      </c>
      <c r="D14">
        <f>D13/B8^2</f>
        <v>1.15384796E-4</v>
      </c>
      <c r="J14" s="2">
        <f t="shared" si="1"/>
        <v>0.18000000000000005</v>
      </c>
      <c r="K14">
        <v>1.0369708019011248</v>
      </c>
      <c r="L14">
        <v>1.123621922091669</v>
      </c>
      <c r="M14">
        <v>1.2145088753116684</v>
      </c>
      <c r="N14">
        <v>1.3096629283451131</v>
      </c>
      <c r="O14">
        <v>1.4091153479759932</v>
      </c>
      <c r="P14">
        <v>1.5128974009882987</v>
      </c>
      <c r="Q14">
        <v>1.6210403541660192</v>
      </c>
      <c r="R14">
        <v>1.7335754742931455</v>
      </c>
      <c r="S14">
        <v>1.8505340281536666</v>
      </c>
      <c r="T14">
        <v>1.9719472825315738</v>
      </c>
      <c r="U14">
        <v>2.0978465042108554</v>
      </c>
      <c r="V14">
        <v>2.2282629599755031</v>
      </c>
      <c r="W14">
        <v>2.3632279166095054</v>
      </c>
      <c r="X14">
        <v>2.5027726408968531</v>
      </c>
      <c r="Y14">
        <v>2.6469283996215363</v>
      </c>
      <c r="Z14">
        <v>2.7957264595675442</v>
      </c>
      <c r="AA14">
        <v>2.9491980875188681</v>
      </c>
      <c r="AB14">
        <v>3.1073745502594972</v>
      </c>
      <c r="AC14">
        <v>3.2702871145734211</v>
      </c>
      <c r="AD14">
        <v>3.43796704724463</v>
      </c>
      <c r="AE14">
        <v>3.6104456150571145</v>
      </c>
      <c r="AF14">
        <v>3.7877540847948641</v>
      </c>
      <c r="AG14">
        <v>3.9699237232418692</v>
      </c>
      <c r="AH14">
        <v>4.1569857971821182</v>
      </c>
      <c r="AI14">
        <v>4.3489715733996039</v>
      </c>
      <c r="AJ14">
        <v>4.5459123186783152</v>
      </c>
      <c r="AK14">
        <v>4.7478392998022398</v>
      </c>
      <c r="AL14">
        <v>4.9547837835553699</v>
      </c>
      <c r="AM14">
        <v>5.1667770367216965</v>
      </c>
      <c r="AN14">
        <v>5.3838503260852058</v>
      </c>
      <c r="AO14">
        <v>5.6060349184298932</v>
      </c>
      <c r="AP14">
        <v>5.8333620805397439</v>
      </c>
      <c r="AQ14" s="14">
        <v>6.06586307919875</v>
      </c>
      <c r="AR14" s="14">
        <v>6.3035691811909018</v>
      </c>
      <c r="AS14">
        <v>6.5465116533001879</v>
      </c>
      <c r="AT14">
        <v>6.7947217623106004</v>
      </c>
      <c r="AU14" s="13">
        <v>7.0482307750061262</v>
      </c>
      <c r="AV14" s="13">
        <v>7.307069958170759</v>
      </c>
      <c r="AW14">
        <v>7.5712705785884848</v>
      </c>
      <c r="AX14">
        <v>7.8408639030432949</v>
      </c>
      <c r="AY14" s="3">
        <v>8.1158811983191832</v>
      </c>
      <c r="AZ14" s="3">
        <v>8.3963537312001328</v>
      </c>
      <c r="BA14" s="8">
        <v>8.6823127684701404</v>
      </c>
      <c r="BB14">
        <v>8.9737895769131928</v>
      </c>
      <c r="BC14">
        <v>9.2708154233132802</v>
      </c>
      <c r="BD14">
        <v>9.5734215744543913</v>
      </c>
      <c r="BE14">
        <v>9.8816392971205183</v>
      </c>
      <c r="BF14">
        <v>10.19549985809565</v>
      </c>
      <c r="BG14">
        <v>10.515034524163775</v>
      </c>
      <c r="BH14">
        <v>10.840274562108888</v>
      </c>
      <c r="BI14">
        <v>11.171251238714975</v>
      </c>
    </row>
    <row r="15" spans="1:61" x14ac:dyDescent="0.3">
      <c r="J15" s="2">
        <f t="shared" si="1"/>
        <v>0.19000000000000006</v>
      </c>
      <c r="K15">
        <v>0.99300733729770618</v>
      </c>
      <c r="L15">
        <v>1.0729100214497942</v>
      </c>
      <c r="M15">
        <v>1.1566075915684542</v>
      </c>
      <c r="N15">
        <v>1.2441279908345975</v>
      </c>
      <c r="O15">
        <v>1.3354991624291337</v>
      </c>
      <c r="P15">
        <v>1.430749049532974</v>
      </c>
      <c r="Q15">
        <v>1.5299055953270295</v>
      </c>
      <c r="R15">
        <v>1.6329967429922101</v>
      </c>
      <c r="S15">
        <v>1.7400504357094271</v>
      </c>
      <c r="T15">
        <v>1.8510946166595916</v>
      </c>
      <c r="U15">
        <v>1.9661572290236131</v>
      </c>
      <c r="V15">
        <v>2.0852662159824038</v>
      </c>
      <c r="W15">
        <v>2.2084495207168731</v>
      </c>
      <c r="X15">
        <v>2.3357350864079316</v>
      </c>
      <c r="Y15">
        <v>2.4671508562364917</v>
      </c>
      <c r="Z15">
        <v>2.602724773383462</v>
      </c>
      <c r="AA15">
        <v>2.7424847810297548</v>
      </c>
      <c r="AB15">
        <v>2.886458822356281</v>
      </c>
      <c r="AC15">
        <v>3.0346748405439485</v>
      </c>
      <c r="AD15">
        <v>3.1871607787736713</v>
      </c>
      <c r="AE15">
        <v>3.343944580226359</v>
      </c>
      <c r="AF15">
        <v>3.5050541880829211</v>
      </c>
      <c r="AG15">
        <v>3.67051754552427</v>
      </c>
      <c r="AH15">
        <v>3.8403625957313166</v>
      </c>
      <c r="AI15">
        <v>4.0146172818849699</v>
      </c>
      <c r="AJ15">
        <v>4.193309547166141</v>
      </c>
      <c r="AK15">
        <v>4.3764673347557421</v>
      </c>
      <c r="AL15">
        <v>4.5641185878346828</v>
      </c>
      <c r="AM15">
        <v>4.7562912495838727</v>
      </c>
      <c r="AN15">
        <v>4.953013263184225</v>
      </c>
      <c r="AO15">
        <v>5.1543125718166483</v>
      </c>
      <c r="AP15" s="14">
        <v>5.3602171186620549</v>
      </c>
      <c r="AQ15" s="14">
        <v>5.5707548469013535</v>
      </c>
      <c r="AR15">
        <v>5.7859536997154573</v>
      </c>
      <c r="AS15">
        <v>6.005841620285274</v>
      </c>
      <c r="AT15" s="13">
        <v>6.2304465517917178</v>
      </c>
      <c r="AU15" s="13">
        <v>6.4597964374156955</v>
      </c>
      <c r="AV15">
        <v>6.6939192203381239</v>
      </c>
      <c r="AW15">
        <v>6.9328428437399063</v>
      </c>
      <c r="AX15" s="3">
        <v>7.1765952508019568</v>
      </c>
      <c r="AY15" s="3">
        <v>7.4252043847051867</v>
      </c>
      <c r="AZ15" s="8">
        <v>7.6786981886305075</v>
      </c>
      <c r="BA15">
        <v>7.9371046057588277</v>
      </c>
      <c r="BB15">
        <v>8.2004515792710588</v>
      </c>
      <c r="BC15">
        <v>8.4687670523481131</v>
      </c>
      <c r="BD15">
        <v>8.7420789681708975</v>
      </c>
      <c r="BE15">
        <v>9.0204152699203242</v>
      </c>
      <c r="BF15">
        <v>9.3038039007773072</v>
      </c>
      <c r="BG15">
        <v>9.5922728039227554</v>
      </c>
      <c r="BH15">
        <v>9.8858499225375738</v>
      </c>
      <c r="BI15" s="10">
        <v>10.184563199802685</v>
      </c>
    </row>
    <row r="16" spans="1:61" x14ac:dyDescent="0.3">
      <c r="A16" t="s">
        <v>13</v>
      </c>
      <c r="C16" s="2">
        <f>C14/C12</f>
        <v>2.9167399770114937</v>
      </c>
      <c r="D16" s="2">
        <f>D14/D12</f>
        <v>1.6722434202898551</v>
      </c>
      <c r="J16" s="2">
        <f t="shared" si="1"/>
        <v>0.20000000000000007</v>
      </c>
      <c r="K16">
        <v>0.95441689760409676</v>
      </c>
      <c r="L16">
        <v>1.0284543248149574</v>
      </c>
      <c r="M16">
        <v>1.1059105482863854</v>
      </c>
      <c r="N16">
        <v>1.1868106802715119</v>
      </c>
      <c r="O16">
        <v>1.2711798330234674</v>
      </c>
      <c r="P16">
        <v>1.3590431187953831</v>
      </c>
      <c r="Q16">
        <v>1.4504256498403898</v>
      </c>
      <c r="R16">
        <v>1.5453525384116178</v>
      </c>
      <c r="S16">
        <v>1.6438488967621985</v>
      </c>
      <c r="T16">
        <v>1.7459398371452621</v>
      </c>
      <c r="U16">
        <v>1.8516504718139404</v>
      </c>
      <c r="V16">
        <v>1.9610059130213631</v>
      </c>
      <c r="W16">
        <v>2.0740312730206614</v>
      </c>
      <c r="X16">
        <v>2.1907516640649667</v>
      </c>
      <c r="Y16">
        <v>2.3111921984074084</v>
      </c>
      <c r="Z16">
        <v>2.4353779883011186</v>
      </c>
      <c r="AA16">
        <v>2.5633341459992285</v>
      </c>
      <c r="AB16">
        <v>2.6950857837548674</v>
      </c>
      <c r="AC16">
        <v>2.830658013821167</v>
      </c>
      <c r="AD16">
        <v>2.9700759484512571</v>
      </c>
      <c r="AE16">
        <v>3.1133646998982711</v>
      </c>
      <c r="AF16">
        <v>3.2605493804153372</v>
      </c>
      <c r="AG16">
        <v>3.4116551022555868</v>
      </c>
      <c r="AH16">
        <v>3.5667069776721516</v>
      </c>
      <c r="AI16">
        <v>3.7257301189181611</v>
      </c>
      <c r="AJ16">
        <v>3.8887496382467472</v>
      </c>
      <c r="AK16">
        <v>4.0557906479110404</v>
      </c>
      <c r="AL16">
        <v>4.2268782601641712</v>
      </c>
      <c r="AM16">
        <v>4.4020375872592714</v>
      </c>
      <c r="AN16">
        <v>4.5812937414494694</v>
      </c>
      <c r="AO16" s="14">
        <v>4.7646718349878991</v>
      </c>
      <c r="AP16" s="14">
        <v>4.9521969801276899</v>
      </c>
      <c r="AQ16">
        <v>5.1438942891219721</v>
      </c>
      <c r="AR16">
        <v>5.3397888742238768</v>
      </c>
      <c r="AS16" s="13">
        <v>5.5399058476865353</v>
      </c>
      <c r="AT16" s="13">
        <v>5.7442703217630786</v>
      </c>
      <c r="AU16">
        <v>5.9529074087066354</v>
      </c>
      <c r="AV16">
        <v>6.1658422207703394</v>
      </c>
      <c r="AW16" s="3">
        <v>6.3830998702073209</v>
      </c>
      <c r="AX16" s="3">
        <v>6.6047054692707086</v>
      </c>
      <c r="AY16" s="8">
        <v>6.8306841302136352</v>
      </c>
      <c r="AZ16">
        <v>7.0610609652892293</v>
      </c>
      <c r="BA16">
        <v>7.2958610867506266</v>
      </c>
      <c r="BB16">
        <v>7.535109606850952</v>
      </c>
      <c r="BC16">
        <v>7.7788316378433411</v>
      </c>
      <c r="BD16">
        <v>8.0270522919809224</v>
      </c>
      <c r="BE16">
        <v>8.2797966815168227</v>
      </c>
      <c r="BF16">
        <v>8.5370899187041829</v>
      </c>
      <c r="BG16">
        <v>8.7989571157961244</v>
      </c>
      <c r="BH16" s="10">
        <v>9.065423385045781</v>
      </c>
      <c r="BI16" s="10">
        <v>9.3365138387062867</v>
      </c>
    </row>
    <row r="17" spans="3:61" x14ac:dyDescent="0.3">
      <c r="J17" s="2">
        <f t="shared" si="1"/>
        <v>0.21000000000000008</v>
      </c>
      <c r="K17">
        <v>0.92029900073319537</v>
      </c>
      <c r="L17">
        <v>0.98919983109091425</v>
      </c>
      <c r="M17">
        <v>1.0611961345798788</v>
      </c>
      <c r="N17">
        <v>1.1363105929966189</v>
      </c>
      <c r="O17">
        <v>1.214565888137664</v>
      </c>
      <c r="P17">
        <v>1.2959847017995456</v>
      </c>
      <c r="Q17">
        <v>1.3805897157787914</v>
      </c>
      <c r="R17">
        <v>1.4684036118719328</v>
      </c>
      <c r="S17">
        <v>1.5594490718754999</v>
      </c>
      <c r="T17">
        <v>1.6537487775860222</v>
      </c>
      <c r="U17">
        <v>1.7513254108000289</v>
      </c>
      <c r="V17">
        <v>1.8522016533140511</v>
      </c>
      <c r="W17">
        <v>1.9564001869246179</v>
      </c>
      <c r="X17">
        <v>2.0639436934282598</v>
      </c>
      <c r="Y17">
        <v>2.1748548546215063</v>
      </c>
      <c r="Z17">
        <v>2.2891563523008873</v>
      </c>
      <c r="AA17">
        <v>2.4068708682629336</v>
      </c>
      <c r="AB17">
        <v>2.5280210843041742</v>
      </c>
      <c r="AC17">
        <v>2.6526296822211393</v>
      </c>
      <c r="AD17">
        <v>2.7807193438103592</v>
      </c>
      <c r="AE17">
        <v>2.9123127508683626</v>
      </c>
      <c r="AF17">
        <v>3.0474325851916815</v>
      </c>
      <c r="AG17">
        <v>3.1861015285768444</v>
      </c>
      <c r="AH17">
        <v>3.3283422628203811</v>
      </c>
      <c r="AI17">
        <v>3.4741774697188212</v>
      </c>
      <c r="AJ17">
        <v>3.6236298310686967</v>
      </c>
      <c r="AK17">
        <v>3.7767220286665362</v>
      </c>
      <c r="AL17">
        <v>3.9334767443088685</v>
      </c>
      <c r="AM17">
        <v>4.0939166597922254</v>
      </c>
      <c r="AN17" s="14">
        <v>4.2580644569131358</v>
      </c>
      <c r="AO17" s="14">
        <v>4.4259428174681297</v>
      </c>
      <c r="AP17">
        <v>4.5975744232537377</v>
      </c>
      <c r="AQ17">
        <v>4.7729819560664906</v>
      </c>
      <c r="AR17" s="13">
        <v>4.9521880977029147</v>
      </c>
      <c r="AS17" s="13">
        <v>5.1352155299595443</v>
      </c>
      <c r="AT17">
        <v>5.3220869346329058</v>
      </c>
      <c r="AU17">
        <v>5.5128249935195308</v>
      </c>
      <c r="AV17" s="3">
        <v>5.70745238841595</v>
      </c>
      <c r="AW17" s="3">
        <v>5.9059918011186907</v>
      </c>
      <c r="AX17" s="8">
        <v>6.1084659134242854</v>
      </c>
      <c r="AY17">
        <v>6.314897407129263</v>
      </c>
      <c r="AZ17">
        <v>6.5253089640301534</v>
      </c>
      <c r="BA17">
        <v>6.7397232659234874</v>
      </c>
      <c r="BB17">
        <v>6.9581629946057939</v>
      </c>
      <c r="BC17">
        <v>7.1806508318736055</v>
      </c>
      <c r="BD17">
        <v>7.4072094595234459</v>
      </c>
      <c r="BE17">
        <v>7.6378615593518511</v>
      </c>
      <c r="BF17">
        <v>7.8726298131553483</v>
      </c>
      <c r="BG17" s="10">
        <v>8.1115369027304673</v>
      </c>
      <c r="BH17" s="10">
        <v>8.3546055098737408</v>
      </c>
      <c r="BI17">
        <v>8.6018583163816924</v>
      </c>
    </row>
    <row r="18" spans="3:61" x14ac:dyDescent="0.3">
      <c r="C18">
        <f>C16/D16</f>
        <v>1.7442077759863013</v>
      </c>
      <c r="J18" s="2">
        <f t="shared" si="1"/>
        <v>0.22000000000000008</v>
      </c>
      <c r="K18">
        <v>0.88993995552702032</v>
      </c>
      <c r="L18">
        <v>0.95431134490759206</v>
      </c>
      <c r="M18">
        <v>1.0214982487855224</v>
      </c>
      <c r="N18">
        <v>1.0915212473196199</v>
      </c>
      <c r="O18">
        <v>1.1644009206686943</v>
      </c>
      <c r="P18">
        <v>1.2401578489915555</v>
      </c>
      <c r="Q18">
        <v>1.3188126124470121</v>
      </c>
      <c r="R18">
        <v>1.4003857911938737</v>
      </c>
      <c r="S18">
        <v>1.48489796539095</v>
      </c>
      <c r="T18">
        <v>1.5723697151970502</v>
      </c>
      <c r="U18">
        <v>1.6628216207709841</v>
      </c>
      <c r="V18">
        <v>1.7562742622715601</v>
      </c>
      <c r="W18">
        <v>1.8527482198575889</v>
      </c>
      <c r="X18">
        <v>1.9522640736878785</v>
      </c>
      <c r="Y18">
        <v>2.054842403921239</v>
      </c>
      <c r="Z18">
        <v>2.1605037907164801</v>
      </c>
      <c r="AA18">
        <v>2.2692688142324111</v>
      </c>
      <c r="AB18">
        <v>2.3811580546278415</v>
      </c>
      <c r="AC18">
        <v>2.4961920920615803</v>
      </c>
      <c r="AD18">
        <v>2.6143915066924364</v>
      </c>
      <c r="AE18">
        <v>2.73577687867922</v>
      </c>
      <c r="AF18">
        <v>2.8603687881807409</v>
      </c>
      <c r="AG18">
        <v>2.9881878153558068</v>
      </c>
      <c r="AH18">
        <v>3.119254540363229</v>
      </c>
      <c r="AI18">
        <v>3.2535895433618158</v>
      </c>
      <c r="AJ18">
        <v>3.3912134045103777</v>
      </c>
      <c r="AK18">
        <v>3.5321467039677232</v>
      </c>
      <c r="AL18">
        <v>3.6764100218926608</v>
      </c>
      <c r="AM18" s="14">
        <v>3.8240239384440016</v>
      </c>
      <c r="AN18" s="14">
        <v>3.9750090337805548</v>
      </c>
      <c r="AO18">
        <v>4.1293858880611287</v>
      </c>
      <c r="AP18">
        <v>4.2871750814445333</v>
      </c>
      <c r="AQ18" s="13">
        <v>4.448397194089579</v>
      </c>
      <c r="AR18" s="13">
        <v>4.6130728061550723</v>
      </c>
      <c r="AS18">
        <v>4.781222497799825</v>
      </c>
      <c r="AT18">
        <v>4.9528668491826462</v>
      </c>
      <c r="AU18" s="3">
        <v>5.1280264404623468</v>
      </c>
      <c r="AV18" s="3">
        <v>5.3067218517977306</v>
      </c>
      <c r="AW18" s="8">
        <v>5.4889736633476147</v>
      </c>
      <c r="AX18">
        <v>5.6748024552708047</v>
      </c>
      <c r="AY18">
        <v>5.8642288077261089</v>
      </c>
      <c r="AZ18">
        <v>6.0572733008723354</v>
      </c>
      <c r="BA18">
        <v>6.2539565148682996</v>
      </c>
      <c r="BB18">
        <v>6.4542990298728062</v>
      </c>
      <c r="BC18">
        <v>6.6583214260446653</v>
      </c>
      <c r="BD18">
        <v>6.8660442835426876</v>
      </c>
      <c r="BE18">
        <v>7.0774881825256788</v>
      </c>
      <c r="BF18" s="10">
        <v>7.2926737031524542</v>
      </c>
      <c r="BG18" s="10">
        <v>7.5116214255818186</v>
      </c>
      <c r="BH18">
        <v>7.7343519299725827</v>
      </c>
      <c r="BI18" s="9">
        <v>7.9608857964835567</v>
      </c>
    </row>
    <row r="19" spans="3:61" x14ac:dyDescent="0.3">
      <c r="J19" s="2">
        <f t="shared" si="1"/>
        <v>0.23000000000000009</v>
      </c>
      <c r="K19">
        <v>0.86276745850290448</v>
      </c>
      <c r="L19">
        <v>0.9231198730836998</v>
      </c>
      <c r="M19">
        <v>0.98604380817276294</v>
      </c>
      <c r="N19">
        <v>1.051558014754238</v>
      </c>
      <c r="O19">
        <v>1.119681243812269</v>
      </c>
      <c r="P19">
        <v>1.1904322463310006</v>
      </c>
      <c r="Q19">
        <v>1.2638297732945771</v>
      </c>
      <c r="R19">
        <v>1.3398925756871423</v>
      </c>
      <c r="S19">
        <v>1.418639404492841</v>
      </c>
      <c r="T19">
        <v>1.5000890106958171</v>
      </c>
      <c r="U19">
        <v>1.5842601452802152</v>
      </c>
      <c r="V19">
        <v>1.6711715592301795</v>
      </c>
      <c r="W19">
        <v>1.7608420035298538</v>
      </c>
      <c r="X19">
        <v>1.8532902291633828</v>
      </c>
      <c r="Y19">
        <v>1.9485349871149111</v>
      </c>
      <c r="Z19">
        <v>2.0465950283685821</v>
      </c>
      <c r="AA19">
        <v>2.1474891039085411</v>
      </c>
      <c r="AB19">
        <v>2.2512359647189313</v>
      </c>
      <c r="AC19">
        <v>2.3578543617838981</v>
      </c>
      <c r="AD19">
        <v>2.4673630460875851</v>
      </c>
      <c r="AE19">
        <v>2.5797807686141363</v>
      </c>
      <c r="AF19">
        <v>2.6951262803476963</v>
      </c>
      <c r="AG19">
        <v>2.8134183322724091</v>
      </c>
      <c r="AH19">
        <v>2.9346756753724201</v>
      </c>
      <c r="AI19">
        <v>3.0589170606318721</v>
      </c>
      <c r="AJ19">
        <v>3.1861612390349108</v>
      </c>
      <c r="AK19">
        <v>3.3164269615656785</v>
      </c>
      <c r="AL19" s="14">
        <v>3.449732979208322</v>
      </c>
      <c r="AM19" s="14">
        <v>3.5860980429469835</v>
      </c>
      <c r="AN19">
        <v>3.7255409037658076</v>
      </c>
      <c r="AO19">
        <v>3.8680803126489396</v>
      </c>
      <c r="AP19" s="13">
        <v>4.0137350205805244</v>
      </c>
      <c r="AQ19" s="13">
        <v>4.1625237785447036</v>
      </c>
      <c r="AR19">
        <v>4.3144653375256228</v>
      </c>
      <c r="AS19">
        <v>4.469578448507427</v>
      </c>
      <c r="AT19" s="3">
        <v>4.6278818624742595</v>
      </c>
      <c r="AU19" s="3">
        <v>4.7893943304102651</v>
      </c>
      <c r="AV19" s="8">
        <v>4.954134603299587</v>
      </c>
      <c r="AW19">
        <v>5.1221214321263711</v>
      </c>
      <c r="AX19">
        <v>5.2933735678747622</v>
      </c>
      <c r="AY19">
        <v>5.4679097615289018</v>
      </c>
      <c r="AZ19">
        <v>5.6457487640729358</v>
      </c>
      <c r="BA19">
        <v>5.826909326491009</v>
      </c>
      <c r="BB19">
        <v>6.0114101997672647</v>
      </c>
      <c r="BC19">
        <v>6.1992701348858485</v>
      </c>
      <c r="BD19">
        <v>6.3905078828309012</v>
      </c>
      <c r="BE19" s="10">
        <v>6.5851421945865711</v>
      </c>
      <c r="BF19" s="10">
        <v>6.7831918211370015</v>
      </c>
      <c r="BG19">
        <v>6.9846755134663345</v>
      </c>
      <c r="BH19" s="9">
        <v>7.189612022558717</v>
      </c>
      <c r="BI19" s="9">
        <v>7.3980200993982921</v>
      </c>
    </row>
    <row r="20" spans="3:61" x14ac:dyDescent="0.3">
      <c r="J20" s="2">
        <f t="shared" si="1"/>
        <v>0.2400000000000001</v>
      </c>
      <c r="K20">
        <v>0.83831769058197969</v>
      </c>
      <c r="L20">
        <v>0.89508381627315636</v>
      </c>
      <c r="M20">
        <v>0.95420754508700001</v>
      </c>
      <c r="N20">
        <v>1.0157060264838693</v>
      </c>
      <c r="O20">
        <v>1.0795964099241226</v>
      </c>
      <c r="P20">
        <v>1.1458958448681194</v>
      </c>
      <c r="Q20">
        <v>1.2146214807762186</v>
      </c>
      <c r="R20">
        <v>1.2857904671087779</v>
      </c>
      <c r="S20">
        <v>1.3594199533261579</v>
      </c>
      <c r="T20">
        <v>1.4355270888887164</v>
      </c>
      <c r="U20">
        <v>1.5141290232568125</v>
      </c>
      <c r="V20">
        <v>1.5952429058908044</v>
      </c>
      <c r="W20">
        <v>1.6788858862510523</v>
      </c>
      <c r="X20">
        <v>1.7650751137979142</v>
      </c>
      <c r="Y20">
        <v>1.8538277379917485</v>
      </c>
      <c r="Z20">
        <v>1.9451609082929149</v>
      </c>
      <c r="AA20">
        <v>2.0390917741617725</v>
      </c>
      <c r="AB20">
        <v>2.135637485058679</v>
      </c>
      <c r="AC20">
        <v>2.2348151904439941</v>
      </c>
      <c r="AD20">
        <v>2.3366420397780767</v>
      </c>
      <c r="AE20">
        <v>2.4411351825212853</v>
      </c>
      <c r="AF20">
        <v>2.5483117681339782</v>
      </c>
      <c r="AG20">
        <v>2.6581889460765153</v>
      </c>
      <c r="AH20">
        <v>2.7707838658092552</v>
      </c>
      <c r="AI20">
        <v>2.8861136767925566</v>
      </c>
      <c r="AJ20">
        <v>3.0041955284867785</v>
      </c>
      <c r="AK20" s="14">
        <v>3.1250465703522794</v>
      </c>
      <c r="AL20" s="14">
        <v>3.2486839518494186</v>
      </c>
      <c r="AM20">
        <v>3.3751248224385546</v>
      </c>
      <c r="AN20">
        <v>3.5043863315800472</v>
      </c>
      <c r="AO20" s="13">
        <v>3.6364856287342544</v>
      </c>
      <c r="AP20" s="13">
        <v>3.7714398633615338</v>
      </c>
      <c r="AQ20">
        <v>3.9092661849222461</v>
      </c>
      <c r="AR20">
        <v>4.0499817428767502</v>
      </c>
      <c r="AS20" s="3">
        <v>4.1936036866854032</v>
      </c>
      <c r="AT20" s="3">
        <v>4.3401491658085662</v>
      </c>
      <c r="AU20" s="8">
        <v>4.489635329706597</v>
      </c>
      <c r="AV20">
        <v>4.6420793278398538</v>
      </c>
      <c r="AW20">
        <v>4.7974983096686969</v>
      </c>
      <c r="AX20">
        <v>4.9559094246534849</v>
      </c>
      <c r="AY20">
        <v>5.1173298222545753</v>
      </c>
      <c r="AZ20">
        <v>5.2817766519323266</v>
      </c>
      <c r="BA20">
        <v>5.4492670631470999</v>
      </c>
      <c r="BB20">
        <v>5.6198182053592536</v>
      </c>
      <c r="BC20">
        <v>5.7934472280291445</v>
      </c>
      <c r="BD20" s="10">
        <v>5.9701712806171354</v>
      </c>
      <c r="BE20" s="10">
        <v>6.1500075125835796</v>
      </c>
      <c r="BF20">
        <v>6.3329730733888407</v>
      </c>
      <c r="BG20" s="9">
        <v>6.5190851124932765</v>
      </c>
      <c r="BH20" s="9">
        <v>6.7083607793572444</v>
      </c>
      <c r="BI20" s="9">
        <v>6.9008172234411047</v>
      </c>
    </row>
    <row r="21" spans="3:61" x14ac:dyDescent="0.3">
      <c r="J21" s="2">
        <f t="shared" si="1"/>
        <v>0.25000000000000011</v>
      </c>
      <c r="K21">
        <v>0.81621110490831739</v>
      </c>
      <c r="L21">
        <v>0.8697604383561639</v>
      </c>
      <c r="M21">
        <v>0.92547880207841238</v>
      </c>
      <c r="N21">
        <v>0.98338193567226295</v>
      </c>
      <c r="O21">
        <v>1.0434855787349158</v>
      </c>
      <c r="P21">
        <v>1.1058054708635714</v>
      </c>
      <c r="Q21">
        <v>1.1703573516554293</v>
      </c>
      <c r="R21">
        <v>1.2371569607076907</v>
      </c>
      <c r="S21">
        <v>1.3062200376175543</v>
      </c>
      <c r="T21">
        <v>1.3775623219822215</v>
      </c>
      <c r="U21">
        <v>1.4511995533988917</v>
      </c>
      <c r="V21">
        <v>1.5271474714647653</v>
      </c>
      <c r="W21">
        <v>1.6054218157770423</v>
      </c>
      <c r="X21">
        <v>1.6860383259329235</v>
      </c>
      <c r="Y21">
        <v>1.7690127415296084</v>
      </c>
      <c r="Z21">
        <v>1.8543608021642977</v>
      </c>
      <c r="AA21">
        <v>1.9420982474341904</v>
      </c>
      <c r="AB21">
        <v>2.0322408169364876</v>
      </c>
      <c r="AC21">
        <v>2.1248042502683893</v>
      </c>
      <c r="AD21">
        <v>2.2198042870270966</v>
      </c>
      <c r="AE21">
        <v>2.3172566668098078</v>
      </c>
      <c r="AF21">
        <v>2.4171771292137243</v>
      </c>
      <c r="AG21">
        <v>2.5195814138360455</v>
      </c>
      <c r="AH21">
        <v>2.6244852602739726</v>
      </c>
      <c r="AI21">
        <v>2.7319044081247048</v>
      </c>
      <c r="AJ21" s="14">
        <v>2.8418545969854425</v>
      </c>
      <c r="AK21" s="14">
        <v>2.9543515664533859</v>
      </c>
      <c r="AL21">
        <v>3.0694110561257357</v>
      </c>
      <c r="AM21">
        <v>3.1870488055996908</v>
      </c>
      <c r="AN21" s="13">
        <v>3.3072805544724528</v>
      </c>
      <c r="AO21" s="13">
        <v>3.4301220423412215</v>
      </c>
      <c r="AP21">
        <v>3.5555890088031954</v>
      </c>
      <c r="AQ21">
        <v>3.6836971934555769</v>
      </c>
      <c r="AR21" s="3">
        <v>3.8144623358955645</v>
      </c>
      <c r="AS21" s="3">
        <v>3.9479001757203589</v>
      </c>
      <c r="AT21" s="8">
        <v>4.0840264525271612</v>
      </c>
      <c r="AU21">
        <v>4.2228569059131713</v>
      </c>
      <c r="AV21">
        <v>4.3644072754755889</v>
      </c>
      <c r="AW21">
        <v>4.5086933008116121</v>
      </c>
      <c r="AX21">
        <v>4.6557307215184451</v>
      </c>
      <c r="AY21">
        <v>4.8055352771932842</v>
      </c>
      <c r="AZ21">
        <v>4.9581227074333327</v>
      </c>
      <c r="BA21">
        <v>5.1135087518357896</v>
      </c>
      <c r="BB21">
        <v>5.2717091499978537</v>
      </c>
      <c r="BC21" s="10">
        <v>5.4327396415167275</v>
      </c>
      <c r="BD21" s="10">
        <v>5.5966159659896091</v>
      </c>
      <c r="BE21">
        <v>5.7633538630137</v>
      </c>
      <c r="BF21" s="9">
        <v>5.9329690721861992</v>
      </c>
      <c r="BG21" s="9">
        <v>6.1054773331043091</v>
      </c>
      <c r="BH21" s="9">
        <v>6.2808943853652277</v>
      </c>
      <c r="BI21">
        <v>6.4592359685661558</v>
      </c>
    </row>
    <row r="22" spans="3:61" x14ac:dyDescent="0.3">
      <c r="J22" s="2">
        <f t="shared" si="1"/>
        <v>0.26000000000000012</v>
      </c>
      <c r="K22">
        <v>0.79613436022328299</v>
      </c>
      <c r="L22">
        <v>0.84678459700097419</v>
      </c>
      <c r="M22">
        <v>0.89943679779770391</v>
      </c>
      <c r="N22">
        <v>0.95410545483781561</v>
      </c>
      <c r="O22">
        <v>1.0108050603456524</v>
      </c>
      <c r="P22">
        <v>1.0695501065455577</v>
      </c>
      <c r="Q22">
        <v>1.1303550856618756</v>
      </c>
      <c r="R22">
        <v>1.1932344899189484</v>
      </c>
      <c r="S22">
        <v>1.2582028115411203</v>
      </c>
      <c r="T22">
        <v>1.3252745427527348</v>
      </c>
      <c r="U22">
        <v>1.3944641757781349</v>
      </c>
      <c r="V22">
        <v>1.4657862028416642</v>
      </c>
      <c r="W22">
        <v>1.5392551161676662</v>
      </c>
      <c r="X22">
        <v>1.6148854079804842</v>
      </c>
      <c r="Y22">
        <v>1.6926915705044616</v>
      </c>
      <c r="Z22">
        <v>1.7726880959639417</v>
      </c>
      <c r="AA22">
        <v>1.8548894765832684</v>
      </c>
      <c r="AB22">
        <v>1.9393102045867845</v>
      </c>
      <c r="AC22">
        <v>2.0259647721988339</v>
      </c>
      <c r="AD22">
        <v>2.11486767164376</v>
      </c>
      <c r="AE22">
        <v>2.206033395145905</v>
      </c>
      <c r="AF22">
        <v>2.2994764349296144</v>
      </c>
      <c r="AG22">
        <v>2.3952112832192305</v>
      </c>
      <c r="AH22">
        <v>2.4932524322390965</v>
      </c>
      <c r="AI22" s="14">
        <v>2.5936143742135558</v>
      </c>
      <c r="AJ22" s="14">
        <v>2.6963116013669528</v>
      </c>
      <c r="AK22">
        <v>2.8013586059236304</v>
      </c>
      <c r="AL22">
        <v>2.9087698801079318</v>
      </c>
      <c r="AM22" s="13">
        <v>3.0185599161442003</v>
      </c>
      <c r="AN22" s="13">
        <v>3.1307432062567795</v>
      </c>
      <c r="AO22">
        <v>3.2453342426700131</v>
      </c>
      <c r="AP22">
        <v>3.3623475176082436</v>
      </c>
      <c r="AQ22" s="3">
        <v>3.4817975232958154</v>
      </c>
      <c r="AR22" s="3">
        <v>3.6036987519570718</v>
      </c>
      <c r="AS22" s="8">
        <v>3.7280656958163556</v>
      </c>
      <c r="AT22">
        <v>3.8549128470980105</v>
      </c>
      <c r="AU22">
        <v>3.9842546980263802</v>
      </c>
      <c r="AV22">
        <v>4.1161057408258088</v>
      </c>
      <c r="AW22">
        <v>4.2504804677206387</v>
      </c>
      <c r="AX22">
        <v>4.3873933709352118</v>
      </c>
      <c r="AY22">
        <v>4.5268589426938748</v>
      </c>
      <c r="AZ22">
        <v>4.6688916752209693</v>
      </c>
      <c r="BA22">
        <v>4.8135060607408393</v>
      </c>
      <c r="BB22" s="10">
        <v>4.9607165914778282</v>
      </c>
      <c r="BC22" s="10">
        <v>5.1105377596562782</v>
      </c>
      <c r="BD22">
        <v>5.2629840575005327</v>
      </c>
      <c r="BE22" s="9">
        <v>5.4180699772349366</v>
      </c>
      <c r="BF22" s="9">
        <v>5.575810011083834</v>
      </c>
      <c r="BG22" s="9">
        <v>5.7362186512715665</v>
      </c>
      <c r="BH22">
        <v>5.8993103900224764</v>
      </c>
      <c r="BI22">
        <v>6.0650997195609113</v>
      </c>
    </row>
    <row r="23" spans="3:61" x14ac:dyDescent="0.3">
      <c r="J23" s="2">
        <f t="shared" si="1"/>
        <v>0.27000000000000013</v>
      </c>
      <c r="K23">
        <v>0.77782666716218507</v>
      </c>
      <c r="L23">
        <v>0.82585268380683252</v>
      </c>
      <c r="M23">
        <v>0.87573196578504409</v>
      </c>
      <c r="N23">
        <v>0.92747789659647328</v>
      </c>
      <c r="O23">
        <v>0.98110385974077341</v>
      </c>
      <c r="P23">
        <v>1.0366232387175989</v>
      </c>
      <c r="Q23">
        <v>1.0940494170266026</v>
      </c>
      <c r="R23">
        <v>1.1533957781674389</v>
      </c>
      <c r="S23">
        <v>1.2146757056397606</v>
      </c>
      <c r="T23">
        <v>1.277902582943222</v>
      </c>
      <c r="U23">
        <v>1.3430897935774764</v>
      </c>
      <c r="V23">
        <v>1.410250721042178</v>
      </c>
      <c r="W23">
        <v>1.4793987488369795</v>
      </c>
      <c r="X23">
        <v>1.5505472604615351</v>
      </c>
      <c r="Y23">
        <v>1.6237096394154986</v>
      </c>
      <c r="Z23">
        <v>1.6988992691985232</v>
      </c>
      <c r="AA23">
        <v>1.7761295333102629</v>
      </c>
      <c r="AB23">
        <v>1.8554138152503705</v>
      </c>
      <c r="AC23">
        <v>1.936765498518501</v>
      </c>
      <c r="AD23">
        <v>2.0201979666143068</v>
      </c>
      <c r="AE23">
        <v>2.105724603037443</v>
      </c>
      <c r="AF23">
        <v>2.1933587912875616</v>
      </c>
      <c r="AG23">
        <v>2.2831139148643169</v>
      </c>
      <c r="AH23" s="14">
        <v>2.3750033572673628</v>
      </c>
      <c r="AI23" s="14">
        <v>2.4690405019963531</v>
      </c>
      <c r="AJ23">
        <v>2.5652387325509411</v>
      </c>
      <c r="AK23">
        <v>2.66361143243078</v>
      </c>
      <c r="AL23" s="13">
        <v>2.7641719851355235</v>
      </c>
      <c r="AM23" s="13">
        <v>2.8669337741648264</v>
      </c>
      <c r="AN23">
        <v>2.9719101830183412</v>
      </c>
      <c r="AO23">
        <v>3.0791145951957222</v>
      </c>
      <c r="AP23" s="3">
        <v>3.1885603941966218</v>
      </c>
      <c r="AQ23" s="3">
        <v>3.3002609635206954</v>
      </c>
      <c r="AR23" s="8">
        <v>3.4142296866675954</v>
      </c>
      <c r="AS23">
        <v>3.5304799471369761</v>
      </c>
      <c r="AT23">
        <v>3.6490251284284909</v>
      </c>
      <c r="AU23">
        <v>3.7698786140417924</v>
      </c>
      <c r="AV23">
        <v>3.8930537874765356</v>
      </c>
      <c r="AW23">
        <v>4.0185640322323755</v>
      </c>
      <c r="AX23">
        <v>4.1464227318089621</v>
      </c>
      <c r="AY23">
        <v>4.2766432697059527</v>
      </c>
      <c r="AZ23">
        <v>4.4092390294229959</v>
      </c>
      <c r="BA23" s="10">
        <v>4.5442233944597517</v>
      </c>
      <c r="BB23" s="10">
        <v>4.6816097483158696</v>
      </c>
      <c r="BC23">
        <v>4.821411474491005</v>
      </c>
      <c r="BD23" s="9">
        <v>4.9636419564848095</v>
      </c>
      <c r="BE23" s="9">
        <v>5.1083145777969401</v>
      </c>
      <c r="BF23" s="9">
        <v>5.2554427219270465</v>
      </c>
      <c r="BG23">
        <v>5.4050397723747858</v>
      </c>
      <c r="BH23">
        <v>5.5571191126398087</v>
      </c>
      <c r="BI23">
        <v>5.7116941262217686</v>
      </c>
    </row>
    <row r="24" spans="3:61" x14ac:dyDescent="0.3">
      <c r="J24" s="2">
        <f t="shared" si="1"/>
        <v>0.28000000000000014</v>
      </c>
      <c r="K24">
        <v>0.76106934826811934</v>
      </c>
      <c r="L24">
        <v>0.80671035518582057</v>
      </c>
      <c r="M24">
        <v>0.85407170896916773</v>
      </c>
      <c r="N24">
        <v>0.90316580340254193</v>
      </c>
      <c r="O24">
        <v>0.95400503227032374</v>
      </c>
      <c r="P24">
        <v>1.0066017893568937</v>
      </c>
      <c r="Q24">
        <v>1.0609684684466321</v>
      </c>
      <c r="R24">
        <v>1.1171174633239196</v>
      </c>
      <c r="S24">
        <v>1.1750611677731375</v>
      </c>
      <c r="T24">
        <v>1.2348119755786653</v>
      </c>
      <c r="U24">
        <v>1.2963822805248841</v>
      </c>
      <c r="V24">
        <v>1.3597844763961748</v>
      </c>
      <c r="W24">
        <v>1.4250309569769171</v>
      </c>
      <c r="X24">
        <v>1.4921341160514927</v>
      </c>
      <c r="Y24">
        <v>1.5611063474042812</v>
      </c>
      <c r="Z24">
        <v>1.6319600448196636</v>
      </c>
      <c r="AA24">
        <v>1.7047076020820207</v>
      </c>
      <c r="AB24">
        <v>1.779361412975732</v>
      </c>
      <c r="AC24">
        <v>1.8559338712851798</v>
      </c>
      <c r="AD24">
        <v>1.9344373707947435</v>
      </c>
      <c r="AE24">
        <v>2.0148843052888039</v>
      </c>
      <c r="AF24">
        <v>2.0972870685517417</v>
      </c>
      <c r="AG24" s="14">
        <v>2.1816580543679374</v>
      </c>
      <c r="AH24" s="14">
        <v>2.2680096565217718</v>
      </c>
      <c r="AI24">
        <v>2.3563542687976247</v>
      </c>
      <c r="AJ24">
        <v>2.4467042849798779</v>
      </c>
      <c r="AK24" s="13">
        <v>2.5390720988529112</v>
      </c>
      <c r="AL24" s="13">
        <v>2.6334701042011051</v>
      </c>
      <c r="AM24">
        <v>2.7299106948088401</v>
      </c>
      <c r="AN24">
        <v>2.8284062644604973</v>
      </c>
      <c r="AO24" s="3">
        <v>2.9289692069404571</v>
      </c>
      <c r="AP24" s="3">
        <v>3.0316119160330999</v>
      </c>
      <c r="AQ24" s="8">
        <v>3.136346785522806</v>
      </c>
      <c r="AR24">
        <v>3.2431862091939569</v>
      </c>
      <c r="AS24">
        <v>3.3521425808309333</v>
      </c>
      <c r="AT24">
        <v>3.4632282942181147</v>
      </c>
      <c r="AU24">
        <v>3.5764557431398818</v>
      </c>
      <c r="AV24">
        <v>3.6918373213806155</v>
      </c>
      <c r="AW24">
        <v>3.8093854227246964</v>
      </c>
      <c r="AX24">
        <v>3.929112440956505</v>
      </c>
      <c r="AY24">
        <v>4.0510307698604224</v>
      </c>
      <c r="AZ24" s="10">
        <v>4.1751528032208274</v>
      </c>
      <c r="BA24" s="10">
        <v>4.3014909348221035</v>
      </c>
      <c r="BB24">
        <v>4.4300575584486293</v>
      </c>
      <c r="BC24" s="9">
        <v>4.5608650678847846</v>
      </c>
      <c r="BD24" s="9">
        <v>4.6939258569149533</v>
      </c>
      <c r="BE24" s="9">
        <v>4.8292523193235111</v>
      </c>
      <c r="BF24">
        <v>4.9668568488948432</v>
      </c>
      <c r="BG24">
        <v>5.1067518394133273</v>
      </c>
      <c r="BH24">
        <v>5.2489496846633443</v>
      </c>
      <c r="BI24">
        <v>5.3934627784292779</v>
      </c>
    </row>
    <row r="25" spans="3:61" x14ac:dyDescent="0.3">
      <c r="J25" s="2">
        <f t="shared" si="1"/>
        <v>0.29000000000000015</v>
      </c>
      <c r="K25">
        <v>0.74567776889585513</v>
      </c>
      <c r="L25">
        <v>0.78914305756167735</v>
      </c>
      <c r="M25">
        <v>0.8342094068593936</v>
      </c>
      <c r="N25">
        <v>0.88088832357470337</v>
      </c>
      <c r="O25">
        <v>0.92919131449330572</v>
      </c>
      <c r="P25">
        <v>0.97912988640090037</v>
      </c>
      <c r="Q25">
        <v>1.0307155460831865</v>
      </c>
      <c r="R25">
        <v>1.0839598003258637</v>
      </c>
      <c r="S25">
        <v>1.1388741559146309</v>
      </c>
      <c r="T25">
        <v>1.1954701196351885</v>
      </c>
      <c r="U25">
        <v>1.253759198273235</v>
      </c>
      <c r="V25">
        <v>1.3137528986144702</v>
      </c>
      <c r="W25">
        <v>1.3754627274445932</v>
      </c>
      <c r="X25">
        <v>1.4389001915493038</v>
      </c>
      <c r="Y25">
        <v>1.5040767977143015</v>
      </c>
      <c r="Z25">
        <v>1.5710040527252851</v>
      </c>
      <c r="AA25">
        <v>1.6396934633679541</v>
      </c>
      <c r="AB25">
        <v>1.7101565364280089</v>
      </c>
      <c r="AC25">
        <v>1.782404778691147</v>
      </c>
      <c r="AD25">
        <v>1.8564496969430704</v>
      </c>
      <c r="AE25">
        <v>1.9323027979694762</v>
      </c>
      <c r="AF25" s="14">
        <v>2.0099755885560646</v>
      </c>
      <c r="AG25" s="14">
        <v>2.0894795754885349</v>
      </c>
      <c r="AH25">
        <v>2.1708262655525874</v>
      </c>
      <c r="AI25">
        <v>2.2540271655339206</v>
      </c>
      <c r="AJ25" s="13">
        <v>2.3390937822182338</v>
      </c>
      <c r="AK25" s="13">
        <v>2.4260376223912266</v>
      </c>
      <c r="AL25">
        <v>2.514870192838599</v>
      </c>
      <c r="AM25">
        <v>2.6056030003460489</v>
      </c>
      <c r="AN25" s="3">
        <v>2.6982475516992777</v>
      </c>
      <c r="AO25" s="3">
        <v>2.792815353683983</v>
      </c>
      <c r="AP25" s="8">
        <v>2.8893179130858662</v>
      </c>
      <c r="AQ25">
        <v>2.9877667366906246</v>
      </c>
      <c r="AR25">
        <v>3.0881733312839583</v>
      </c>
      <c r="AS25">
        <v>3.1905492036515675</v>
      </c>
      <c r="AT25">
        <v>3.294905860579151</v>
      </c>
      <c r="AU25">
        <v>3.4012548088524084</v>
      </c>
      <c r="AV25">
        <v>3.509607555257038</v>
      </c>
      <c r="AW25">
        <v>3.6199756065787416</v>
      </c>
      <c r="AX25">
        <v>3.7323704696032167</v>
      </c>
      <c r="AY25" s="10">
        <v>3.8468036511161618</v>
      </c>
      <c r="AZ25" s="10">
        <v>3.9632866579032786</v>
      </c>
      <c r="BA25">
        <v>4.0818309967502664</v>
      </c>
      <c r="BB25" s="9">
        <v>4.2024481744428224</v>
      </c>
      <c r="BC25" s="9">
        <v>4.3251496977666495</v>
      </c>
      <c r="BD25" s="9">
        <v>4.4499470735074436</v>
      </c>
      <c r="BE25">
        <v>4.5768518084509049</v>
      </c>
      <c r="BF25">
        <v>4.7058754093827337</v>
      </c>
      <c r="BG25">
        <v>4.8370293830886295</v>
      </c>
      <c r="BH25">
        <v>4.9703252363542907</v>
      </c>
      <c r="BI25">
        <v>5.1057744759654184</v>
      </c>
    </row>
    <row r="26" spans="3:61" x14ac:dyDescent="0.3">
      <c r="J26" s="2">
        <f t="shared" si="1"/>
        <v>0.30000000000000016</v>
      </c>
      <c r="K26">
        <v>0.7314950382300307</v>
      </c>
      <c r="L26">
        <v>0.77296863716344177</v>
      </c>
      <c r="M26">
        <v>0.81593584759596749</v>
      </c>
      <c r="N26">
        <v>0.8604073784240136</v>
      </c>
      <c r="O26">
        <v>0.90639393854398609</v>
      </c>
      <c r="P26">
        <v>0.95390623685229081</v>
      </c>
      <c r="Q26">
        <v>1.0029549822453339</v>
      </c>
      <c r="R26">
        <v>1.0535508836195209</v>
      </c>
      <c r="S26">
        <v>1.1057046498712573</v>
      </c>
      <c r="T26">
        <v>1.1594269898969496</v>
      </c>
      <c r="U26">
        <v>1.2147286125930037</v>
      </c>
      <c r="V26">
        <v>1.2716202268558252</v>
      </c>
      <c r="W26">
        <v>1.3301125415818196</v>
      </c>
      <c r="X26">
        <v>1.390216265667394</v>
      </c>
      <c r="Y26">
        <v>1.451942108008953</v>
      </c>
      <c r="Z26">
        <v>1.5153007775029028</v>
      </c>
      <c r="AA26">
        <v>1.5803029830456496</v>
      </c>
      <c r="AB26">
        <v>1.6469594335335989</v>
      </c>
      <c r="AC26">
        <v>1.715280837863157</v>
      </c>
      <c r="AD26">
        <v>1.7852779049307297</v>
      </c>
      <c r="AE26">
        <v>1.8569613436327221</v>
      </c>
      <c r="AF26">
        <v>1.9303418628655413</v>
      </c>
      <c r="AG26">
        <v>2.005430171525592</v>
      </c>
      <c r="AH26">
        <v>2.0822369785092811</v>
      </c>
      <c r="AI26" s="13">
        <v>2.1607729927130142</v>
      </c>
      <c r="AJ26" s="13">
        <v>2.2410489230331967</v>
      </c>
      <c r="AK26">
        <v>2.323075478366234</v>
      </c>
      <c r="AL26">
        <v>2.4068633676085334</v>
      </c>
      <c r="AM26" s="3">
        <v>2.4924232996565001</v>
      </c>
      <c r="AN26" s="3">
        <v>2.5797659834065398</v>
      </c>
      <c r="AO26" s="8">
        <v>2.6689021277550591</v>
      </c>
      <c r="AP26">
        <v>2.7598424415984621</v>
      </c>
      <c r="AQ26">
        <v>2.8525976338331569</v>
      </c>
      <c r="AR26">
        <v>2.9471784133555476</v>
      </c>
      <c r="AS26">
        <v>3.0435954890620418</v>
      </c>
      <c r="AT26">
        <v>3.1418595698490441</v>
      </c>
      <c r="AU26">
        <v>3.2419813646129603</v>
      </c>
      <c r="AV26">
        <v>3.3439715822501972</v>
      </c>
      <c r="AW26">
        <v>3.4478409316571588</v>
      </c>
      <c r="AX26" s="10">
        <v>3.5536001217302533</v>
      </c>
      <c r="AY26" s="10">
        <v>3.6612598613658851</v>
      </c>
      <c r="AZ26">
        <v>3.7708308594604607</v>
      </c>
      <c r="BA26" s="9">
        <v>3.8823238249103853</v>
      </c>
      <c r="BB26" s="9">
        <v>3.9957494666120668</v>
      </c>
      <c r="BC26" s="9">
        <v>4.1111184934619081</v>
      </c>
      <c r="BD26">
        <v>4.228441614356317</v>
      </c>
      <c r="BE26">
        <v>4.3477295381916985</v>
      </c>
      <c r="BF26">
        <v>4.4689929738644585</v>
      </c>
      <c r="BG26">
        <v>4.5922426302710049</v>
      </c>
      <c r="BH26">
        <v>4.7174892163077411</v>
      </c>
      <c r="BI26">
        <v>4.8447434408710741</v>
      </c>
    </row>
    <row r="27" spans="3:61" x14ac:dyDescent="0.3">
      <c r="J27" s="2">
        <f t="shared" si="1"/>
        <v>0.31000000000000016</v>
      </c>
      <c r="K27">
        <v>0.71838704656044361</v>
      </c>
      <c r="L27">
        <v>0.7580315222595414</v>
      </c>
      <c r="M27">
        <v>0.79907248785916885</v>
      </c>
      <c r="N27">
        <v>0.84151993204096565</v>
      </c>
      <c r="O27">
        <v>0.88538384348657084</v>
      </c>
      <c r="P27">
        <v>0.93067421087762459</v>
      </c>
      <c r="Q27">
        <v>0.97740102289576569</v>
      </c>
      <c r="R27">
        <v>1.0255742682226334</v>
      </c>
      <c r="S27">
        <v>1.0752039355398679</v>
      </c>
      <c r="T27">
        <v>1.1263000135291084</v>
      </c>
      <c r="U27">
        <v>1.1788724908719936</v>
      </c>
      <c r="V27">
        <v>1.232931356250164</v>
      </c>
      <c r="W27">
        <v>1.2884865983452585</v>
      </c>
      <c r="X27">
        <v>1.3455482058389165</v>
      </c>
      <c r="Y27">
        <v>1.4041261674127774</v>
      </c>
      <c r="Z27">
        <v>1.4642304717484809</v>
      </c>
      <c r="AA27">
        <v>1.5258711075276656</v>
      </c>
      <c r="AB27">
        <v>1.5890580634319726</v>
      </c>
      <c r="AC27">
        <v>1.6538013281430399</v>
      </c>
      <c r="AD27">
        <v>1.7201108903425069</v>
      </c>
      <c r="AE27">
        <v>1.7879967387120139</v>
      </c>
      <c r="AF27">
        <v>1.8574688619332</v>
      </c>
      <c r="AG27">
        <v>1.9285372486877046</v>
      </c>
      <c r="AH27" s="13">
        <v>2.001211887657167</v>
      </c>
      <c r="AI27" s="13">
        <v>2.0755027675232265</v>
      </c>
      <c r="AJ27">
        <v>2.1514198769675228</v>
      </c>
      <c r="AK27">
        <v>2.2289732046716959</v>
      </c>
      <c r="AL27" s="3">
        <v>2.3081727393173836</v>
      </c>
      <c r="AM27" s="3">
        <v>2.3890284695862269</v>
      </c>
      <c r="AN27" s="8">
        <v>2.4715503841598645</v>
      </c>
      <c r="AO27">
        <v>2.5557484717199368</v>
      </c>
      <c r="AP27">
        <v>2.6416327209480812</v>
      </c>
      <c r="AQ27">
        <v>2.7292131205259387</v>
      </c>
      <c r="AR27">
        <v>2.8184996591351492</v>
      </c>
      <c r="AS27">
        <v>2.9095023254573515</v>
      </c>
      <c r="AT27">
        <v>3.0022311081741835</v>
      </c>
      <c r="AU27">
        <v>3.0966959959672868</v>
      </c>
      <c r="AV27">
        <v>3.1929069775182994</v>
      </c>
      <c r="AW27" s="10">
        <v>3.2908740415088622</v>
      </c>
      <c r="AX27" s="10">
        <v>3.3906071766206138</v>
      </c>
      <c r="AY27">
        <v>3.4921163715351939</v>
      </c>
      <c r="AZ27" s="9">
        <v>3.5954116149342408</v>
      </c>
      <c r="BA27" s="9">
        <v>3.7005028954993953</v>
      </c>
      <c r="BB27" s="9">
        <v>3.8074002019122966</v>
      </c>
      <c r="BC27">
        <v>3.9161135228545834</v>
      </c>
      <c r="BD27">
        <v>4.0266528470078953</v>
      </c>
      <c r="BE27">
        <v>4.1390281630538723</v>
      </c>
      <c r="BF27">
        <v>4.2532494596741541</v>
      </c>
      <c r="BG27">
        <v>4.3693267255503789</v>
      </c>
      <c r="BH27">
        <v>4.4872699493641868</v>
      </c>
      <c r="BI27">
        <v>4.6070891197972177</v>
      </c>
    </row>
    <row r="28" spans="3:61" x14ac:dyDescent="0.3">
      <c r="J28" s="2">
        <f>J27+0.01</f>
        <v>0.32000000000000017</v>
      </c>
      <c r="K28">
        <v>0.706238521693204</v>
      </c>
      <c r="L28">
        <v>0.74419810375267703</v>
      </c>
      <c r="M28">
        <v>0.78346610486391166</v>
      </c>
      <c r="N28">
        <v>0.82405186150330534</v>
      </c>
      <c r="O28">
        <v>0.86596471014725585</v>
      </c>
      <c r="P28">
        <v>0.90921398727216041</v>
      </c>
      <c r="Q28">
        <v>0.95380902935441636</v>
      </c>
      <c r="R28">
        <v>0.99975917287042093</v>
      </c>
      <c r="S28">
        <v>1.0470737542965722</v>
      </c>
      <c r="T28">
        <v>1.0957621101092667</v>
      </c>
      <c r="U28">
        <v>1.1458335767849033</v>
      </c>
      <c r="V28">
        <v>1.1972974907998779</v>
      </c>
      <c r="W28">
        <v>1.2501631886305888</v>
      </c>
      <c r="X28">
        <v>1.3044400067534334</v>
      </c>
      <c r="Y28">
        <v>1.360137281644809</v>
      </c>
      <c r="Z28">
        <v>1.4172643497811126</v>
      </c>
      <c r="AA28">
        <v>1.4758305476387421</v>
      </c>
      <c r="AB28">
        <v>1.5358452116940953</v>
      </c>
      <c r="AC28" s="14">
        <v>1.5973176784235688</v>
      </c>
      <c r="AD28" s="14">
        <v>1.6602572843035603</v>
      </c>
      <c r="AE28">
        <v>1.7246733658104683</v>
      </c>
      <c r="AF28">
        <v>1.7905752594206887</v>
      </c>
      <c r="AG28">
        <v>1.85797230161062</v>
      </c>
      <c r="AH28">
        <v>1.9268738288566587</v>
      </c>
      <c r="AI28">
        <v>1.9972891776352033</v>
      </c>
      <c r="AJ28">
        <v>2.0692276844226507</v>
      </c>
      <c r="AK28" s="3">
        <v>2.142698685695398</v>
      </c>
      <c r="AL28" s="3">
        <v>2.217711517929843</v>
      </c>
      <c r="AM28" s="8">
        <v>2.2942755176023835</v>
      </c>
      <c r="AN28">
        <v>2.3724000211894163</v>
      </c>
      <c r="AO28">
        <v>2.4520943651673388</v>
      </c>
      <c r="AP28">
        <v>2.5333678860125488</v>
      </c>
      <c r="AQ28">
        <v>2.6162299202014445</v>
      </c>
      <c r="AR28">
        <v>2.7006898042104215</v>
      </c>
      <c r="AS28">
        <v>2.7867568745158797</v>
      </c>
      <c r="AT28">
        <v>2.8744404675942148</v>
      </c>
      <c r="AU28">
        <v>2.9637499199218227</v>
      </c>
      <c r="AV28" s="10">
        <v>3.0546945679751039</v>
      </c>
      <c r="AW28" s="10">
        <v>3.1472837482304552</v>
      </c>
      <c r="AX28">
        <v>3.2415267971642732</v>
      </c>
      <c r="AY28" s="9">
        <v>3.3374330512529551</v>
      </c>
      <c r="AZ28" s="9">
        <v>3.4350118469728992</v>
      </c>
      <c r="BA28" s="9">
        <v>3.5342725208005032</v>
      </c>
      <c r="BB28">
        <v>3.6352244092121633</v>
      </c>
      <c r="BC28">
        <v>3.7378768486842771</v>
      </c>
      <c r="BD28">
        <v>3.8422391756932424</v>
      </c>
      <c r="BE28">
        <v>3.9483207267154583</v>
      </c>
      <c r="BF28">
        <v>4.05613083822732</v>
      </c>
      <c r="BG28">
        <v>4.1656788467052248</v>
      </c>
      <c r="BH28">
        <v>4.2769740886255709</v>
      </c>
      <c r="BI28">
        <v>4.3900259004647566</v>
      </c>
    </row>
    <row r="29" spans="3:61" x14ac:dyDescent="0.3">
      <c r="J29" s="2">
        <f t="shared" si="1"/>
        <v>0.33000000000000018</v>
      </c>
      <c r="K29">
        <v>0.69494987008784759</v>
      </c>
      <c r="L29">
        <v>0.73135303781961492</v>
      </c>
      <c r="M29">
        <v>0.76898451875472551</v>
      </c>
      <c r="N29">
        <v>0.80785305696052634</v>
      </c>
      <c r="O29">
        <v>0.84796739650436292</v>
      </c>
      <c r="P29">
        <v>0.88933628145358135</v>
      </c>
      <c r="Q29">
        <v>0.93196845587552823</v>
      </c>
      <c r="R29">
        <v>0.975872663837549</v>
      </c>
      <c r="S29">
        <v>1.0210576494069905</v>
      </c>
      <c r="T29">
        <v>1.0675321566511984</v>
      </c>
      <c r="U29">
        <v>1.1153049296375188</v>
      </c>
      <c r="V29">
        <v>1.1643847124332982</v>
      </c>
      <c r="W29">
        <v>1.2147802491058823</v>
      </c>
      <c r="X29">
        <v>1.2665002837226176</v>
      </c>
      <c r="Y29">
        <v>1.3195535603508497</v>
      </c>
      <c r="Z29">
        <v>1.3739488230579249</v>
      </c>
      <c r="AA29">
        <v>1.4296948159111897</v>
      </c>
      <c r="AB29" s="14">
        <v>1.4868002829779901</v>
      </c>
      <c r="AC29" s="14">
        <v>1.5452739683256715</v>
      </c>
      <c r="AD29">
        <v>1.6051246160215811</v>
      </c>
      <c r="AE29">
        <v>1.6663609701330644</v>
      </c>
      <c r="AF29">
        <v>1.7289917747274679</v>
      </c>
      <c r="AG29">
        <v>1.7930257738721371</v>
      </c>
      <c r="AH29">
        <v>1.8584717116344185</v>
      </c>
      <c r="AI29">
        <v>1.9253383320816584</v>
      </c>
      <c r="AJ29" s="3">
        <v>1.9936343792812028</v>
      </c>
      <c r="AK29" s="3">
        <v>2.0633685973003972</v>
      </c>
      <c r="AL29" s="8">
        <v>2.1345497302065883</v>
      </c>
      <c r="AM29">
        <v>2.2071865220671225</v>
      </c>
      <c r="AN29">
        <v>2.281287716949346</v>
      </c>
      <c r="AO29">
        <v>2.3568620589206044</v>
      </c>
      <c r="AP29">
        <v>2.4339182920482432</v>
      </c>
      <c r="AQ29">
        <v>2.5124651603996098</v>
      </c>
      <c r="AR29">
        <v>2.5925114080420495</v>
      </c>
      <c r="AS29">
        <v>2.674065779042909</v>
      </c>
      <c r="AT29">
        <v>2.7571370174695335</v>
      </c>
      <c r="AU29" s="10">
        <v>2.8417338673892703</v>
      </c>
      <c r="AV29" s="10">
        <v>2.9278650728694653</v>
      </c>
      <c r="AW29">
        <v>3.015539377977464</v>
      </c>
      <c r="AX29" s="9">
        <v>3.1047655267806125</v>
      </c>
      <c r="AY29" s="9">
        <v>3.195552263346257</v>
      </c>
      <c r="AZ29" s="9">
        <v>3.2879083317417437</v>
      </c>
      <c r="BA29">
        <v>3.3818424760344197</v>
      </c>
      <c r="BB29">
        <v>3.4773634402916294</v>
      </c>
      <c r="BC29">
        <v>3.5744799685807207</v>
      </c>
      <c r="BD29">
        <v>3.6732008049690386</v>
      </c>
      <c r="BE29">
        <v>3.7735346935239296</v>
      </c>
      <c r="BF29">
        <v>3.875490378312739</v>
      </c>
      <c r="BG29">
        <v>3.9790766034028131</v>
      </c>
      <c r="BH29">
        <v>4.0843021128614989</v>
      </c>
      <c r="BI29">
        <v>4.1911756507561426</v>
      </c>
    </row>
    <row r="30" spans="3:61" x14ac:dyDescent="0.3">
      <c r="J30" s="2">
        <f t="shared" si="1"/>
        <v>0.34000000000000019</v>
      </c>
      <c r="K30">
        <v>0.68443462762893459</v>
      </c>
      <c r="L30">
        <v>0.719396264346709</v>
      </c>
      <c r="M30">
        <v>0.75551314543437575</v>
      </c>
      <c r="N30">
        <v>0.79279347533128641</v>
      </c>
      <c r="O30">
        <v>0.8312454584767921</v>
      </c>
      <c r="P30">
        <v>0.87087729931024449</v>
      </c>
      <c r="Q30">
        <v>0.91169720227099538</v>
      </c>
      <c r="R30">
        <v>0.95371337179839588</v>
      </c>
      <c r="S30">
        <v>0.99693401233179779</v>
      </c>
      <c r="T30">
        <v>1.0413673283105522</v>
      </c>
      <c r="U30">
        <v>1.0870215241740115</v>
      </c>
      <c r="V30">
        <v>1.1339048043615263</v>
      </c>
      <c r="W30">
        <v>1.1820253733124482</v>
      </c>
      <c r="X30">
        <v>1.2313914354661291</v>
      </c>
      <c r="Y30">
        <v>1.2820111952619204</v>
      </c>
      <c r="Z30">
        <v>1.333892857139173</v>
      </c>
      <c r="AA30" s="14">
        <v>1.3870446255372397</v>
      </c>
      <c r="AB30" s="14">
        <v>1.4414747048954706</v>
      </c>
      <c r="AC30">
        <v>1.4971912996532184</v>
      </c>
      <c r="AD30">
        <v>1.5542026142498335</v>
      </c>
      <c r="AE30" s="13">
        <v>1.6125168531246681</v>
      </c>
      <c r="AF30" s="13">
        <v>1.6721422207170737</v>
      </c>
      <c r="AG30">
        <v>1.733086921466402</v>
      </c>
      <c r="AH30">
        <v>1.7953591598120038</v>
      </c>
      <c r="AI30" s="5">
        <v>1.8589671401932308</v>
      </c>
      <c r="AJ30" s="5">
        <v>1.9239190670494342</v>
      </c>
      <c r="AK30" s="8">
        <v>1.9902231448199672</v>
      </c>
      <c r="AL30">
        <v>2.0578875779441792</v>
      </c>
      <c r="AM30">
        <v>2.1269205708614236</v>
      </c>
      <c r="AN30">
        <v>2.1973303280110494</v>
      </c>
      <c r="AO30">
        <v>2.2691250538324108</v>
      </c>
      <c r="AP30">
        <v>2.3423129527648574</v>
      </c>
      <c r="AQ30">
        <v>2.4169022292477425</v>
      </c>
      <c r="AR30">
        <v>2.4929010877204161</v>
      </c>
      <c r="AS30">
        <v>2.5703177326222297</v>
      </c>
      <c r="AT30" s="10">
        <v>2.6491603683925353</v>
      </c>
      <c r="AU30" s="10">
        <v>2.7294371994706852</v>
      </c>
      <c r="AV30">
        <v>2.8111564302960295</v>
      </c>
      <c r="AW30" s="9">
        <v>2.8943262653079196</v>
      </c>
      <c r="AX30" s="9">
        <v>2.9789549089457084</v>
      </c>
      <c r="AY30" s="9">
        <v>3.0650505656487468</v>
      </c>
      <c r="AZ30">
        <v>3.1526214398563854</v>
      </c>
      <c r="BA30">
        <v>3.2416757360079775</v>
      </c>
      <c r="BB30">
        <v>3.3322216585428732</v>
      </c>
      <c r="BC30">
        <v>3.4242674119004239</v>
      </c>
      <c r="BD30">
        <v>3.517821200519982</v>
      </c>
      <c r="BE30">
        <v>3.612891228840899</v>
      </c>
      <c r="BF30">
        <v>3.7094857013025258</v>
      </c>
      <c r="BG30">
        <v>3.8076128223442134</v>
      </c>
      <c r="BH30">
        <v>3.9072807964053156</v>
      </c>
      <c r="BI30">
        <v>4.0084978279251811</v>
      </c>
    </row>
    <row r="31" spans="3:61" x14ac:dyDescent="0.3">
      <c r="J31" s="2">
        <f t="shared" si="1"/>
        <v>0.3500000000000002</v>
      </c>
      <c r="K31">
        <v>0.67461738796583348</v>
      </c>
      <c r="L31">
        <v>0.70824058569975967</v>
      </c>
      <c r="M31">
        <v>0.7429521990587421</v>
      </c>
      <c r="N31">
        <v>0.77875993961490242</v>
      </c>
      <c r="O31">
        <v>0.81567151894036205</v>
      </c>
      <c r="P31">
        <v>0.85369464860724242</v>
      </c>
      <c r="Q31">
        <v>0.8928370401876653</v>
      </c>
      <c r="R31">
        <v>0.9331064052537521</v>
      </c>
      <c r="S31">
        <v>0.9745104553776246</v>
      </c>
      <c r="T31">
        <v>1.0170569021314038</v>
      </c>
      <c r="U31">
        <v>1.0607534570872115</v>
      </c>
      <c r="V31">
        <v>1.1056078318171696</v>
      </c>
      <c r="W31">
        <v>1.1516277378933986</v>
      </c>
      <c r="X31">
        <v>1.1988208868880212</v>
      </c>
      <c r="Y31">
        <v>1.2471949903731583</v>
      </c>
      <c r="Z31" s="14">
        <v>1.2967577599209315</v>
      </c>
      <c r="AA31" s="14">
        <v>1.3475169071034625</v>
      </c>
      <c r="AB31">
        <v>1.399480143492873</v>
      </c>
      <c r="AC31">
        <v>1.4526551806612835</v>
      </c>
      <c r="AD31" s="13">
        <v>1.5070497301808168</v>
      </c>
      <c r="AE31" s="13">
        <v>1.5626715036235936</v>
      </c>
      <c r="AF31">
        <v>1.6195282125617361</v>
      </c>
      <c r="AG31">
        <v>1.6776275685673654</v>
      </c>
      <c r="AH31" s="4">
        <v>1.7369772832126029</v>
      </c>
      <c r="AI31" s="6">
        <v>1.7975850680695702</v>
      </c>
      <c r="AJ31">
        <v>1.859458634710389</v>
      </c>
      <c r="AK31">
        <v>1.9226056947071808</v>
      </c>
      <c r="AL31">
        <v>1.9870339596320674</v>
      </c>
      <c r="AM31">
        <v>2.0527511410571697</v>
      </c>
      <c r="AN31">
        <v>2.1197649505546101</v>
      </c>
      <c r="AO31">
        <v>2.188083099696509</v>
      </c>
      <c r="AP31">
        <v>2.2577133000549887</v>
      </c>
      <c r="AQ31">
        <v>2.3286632632021709</v>
      </c>
      <c r="AR31">
        <v>2.400940700710176</v>
      </c>
      <c r="AS31" s="10">
        <v>2.4745533241511271</v>
      </c>
      <c r="AT31" s="10">
        <v>2.5495088450971446</v>
      </c>
      <c r="AU31">
        <v>2.6258149751203499</v>
      </c>
      <c r="AV31" s="9">
        <v>2.7034794257928665</v>
      </c>
      <c r="AW31" s="9">
        <v>2.7825099086868126</v>
      </c>
      <c r="AX31" s="9">
        <v>2.8629141353743126</v>
      </c>
      <c r="AY31">
        <v>2.9446998174274865</v>
      </c>
      <c r="AZ31">
        <v>3.0278746664184562</v>
      </c>
      <c r="BA31">
        <v>3.1124463939193445</v>
      </c>
      <c r="BB31">
        <v>3.1984227115022699</v>
      </c>
      <c r="BC31">
        <v>3.2858113307393571</v>
      </c>
      <c r="BD31">
        <v>3.3746199632027265</v>
      </c>
      <c r="BE31">
        <v>3.4648563204644991</v>
      </c>
      <c r="BF31">
        <v>3.5565281140967961</v>
      </c>
      <c r="BG31">
        <v>3.6496430556717403</v>
      </c>
      <c r="BH31">
        <v>3.7442088567614529</v>
      </c>
      <c r="BI31">
        <v>3.8402332289380547</v>
      </c>
    </row>
    <row r="32" spans="3:61" x14ac:dyDescent="0.3">
      <c r="J32" s="2">
        <f t="shared" si="1"/>
        <v>0.36000000000000021</v>
      </c>
      <c r="K32">
        <v>0.66543210789307039</v>
      </c>
      <c r="L32">
        <v>0.69780968757167705</v>
      </c>
      <c r="M32">
        <v>0.73121440677285365</v>
      </c>
      <c r="N32">
        <v>0.76565352577255685</v>
      </c>
      <c r="O32">
        <v>0.80113430484674331</v>
      </c>
      <c r="P32">
        <v>0.83766400427136933</v>
      </c>
      <c r="Q32">
        <v>0.87524988432239181</v>
      </c>
      <c r="R32">
        <v>0.91389920527576651</v>
      </c>
      <c r="S32">
        <v>0.95361922740745086</v>
      </c>
      <c r="T32">
        <v>0.99441721099340052</v>
      </c>
      <c r="U32">
        <v>1.0363004163095728</v>
      </c>
      <c r="V32">
        <v>1.0792761036319236</v>
      </c>
      <c r="W32">
        <v>1.1233515332364095</v>
      </c>
      <c r="X32">
        <v>1.1685339653989875</v>
      </c>
      <c r="Y32" s="14">
        <v>1.2148306603956134</v>
      </c>
      <c r="Z32" s="14">
        <v>1.2622488785022441</v>
      </c>
      <c r="AA32">
        <v>1.3107958799948365</v>
      </c>
      <c r="AB32">
        <v>1.3604789251493461</v>
      </c>
      <c r="AC32" s="13">
        <v>1.4113052742417302</v>
      </c>
      <c r="AD32" s="13">
        <v>1.4632821875479451</v>
      </c>
      <c r="AE32">
        <v>1.5164169253439475</v>
      </c>
      <c r="AF32">
        <v>1.5707167479056936</v>
      </c>
      <c r="AG32" s="3">
        <v>1.6261889155091398</v>
      </c>
      <c r="AH32" s="3">
        <v>1.6828406884302431</v>
      </c>
      <c r="AI32">
        <v>1.7406793269449596</v>
      </c>
      <c r="AJ32">
        <v>1.7997120913292457</v>
      </c>
      <c r="AK32">
        <v>1.8599462418590589</v>
      </c>
      <c r="AL32">
        <v>1.9213890388103543</v>
      </c>
      <c r="AM32">
        <v>1.9840477424590892</v>
      </c>
      <c r="AN32">
        <v>2.0479296130812203</v>
      </c>
      <c r="AO32">
        <v>2.1130419109527034</v>
      </c>
      <c r="AP32">
        <v>2.1793918963494958</v>
      </c>
      <c r="AQ32">
        <v>2.246986829547553</v>
      </c>
      <c r="AR32" s="10">
        <v>2.3158339708228333</v>
      </c>
      <c r="AS32" s="10">
        <v>2.3859405804512916</v>
      </c>
      <c r="AT32">
        <v>2.4573139187088846</v>
      </c>
      <c r="AU32" s="9">
        <v>2.5299612458715686</v>
      </c>
      <c r="AV32" s="9">
        <v>2.6038898222153013</v>
      </c>
      <c r="AW32" s="9">
        <v>2.6791069080160383</v>
      </c>
      <c r="AX32">
        <v>2.7556197635497361</v>
      </c>
      <c r="AY32">
        <v>2.8334356490923516</v>
      </c>
      <c r="AZ32">
        <v>2.9125618249198406</v>
      </c>
      <c r="BA32">
        <v>2.993005551308161</v>
      </c>
      <c r="BB32">
        <v>3.0747740885332675</v>
      </c>
      <c r="BC32">
        <v>3.1578746968711187</v>
      </c>
      <c r="BD32">
        <v>3.2423146365976683</v>
      </c>
      <c r="BE32">
        <v>3.3281011679888755</v>
      </c>
      <c r="BF32">
        <v>3.4152415513206962</v>
      </c>
      <c r="BG32">
        <v>3.5037430468690856</v>
      </c>
      <c r="BH32">
        <v>3.5936129149100013</v>
      </c>
      <c r="BI32">
        <v>3.6848584157194004</v>
      </c>
    </row>
    <row r="33" spans="10:61" x14ac:dyDescent="0.3">
      <c r="J33" s="2">
        <f t="shared" si="1"/>
        <v>0.37000000000000022</v>
      </c>
      <c r="K33">
        <v>0.65682071259227648</v>
      </c>
      <c r="L33">
        <v>0.68803651117742215</v>
      </c>
      <c r="M33">
        <v>0.7202231303118759</v>
      </c>
      <c r="N33">
        <v>0.75338741605388626</v>
      </c>
      <c r="O33">
        <v>0.78753621446170274</v>
      </c>
      <c r="P33">
        <v>0.82267637159357465</v>
      </c>
      <c r="Q33">
        <v>0.85881473350775073</v>
      </c>
      <c r="R33">
        <v>0.89595814626248049</v>
      </c>
      <c r="S33">
        <v>0.93411345591601258</v>
      </c>
      <c r="T33">
        <v>0.97328750852659673</v>
      </c>
      <c r="U33">
        <v>1.0134871501524818</v>
      </c>
      <c r="V33">
        <v>1.0547192268519172</v>
      </c>
      <c r="W33">
        <v>1.0969905846831516</v>
      </c>
      <c r="X33" s="5">
        <v>1.1403080697044348</v>
      </c>
      <c r="Y33" s="5">
        <v>1.1846785279740151</v>
      </c>
      <c r="Z33">
        <v>1.2301088055501423</v>
      </c>
      <c r="AA33">
        <v>1.2766057484910658</v>
      </c>
      <c r="AB33" s="13">
        <v>1.3241762028550343</v>
      </c>
      <c r="AC33" s="13">
        <v>1.3728270147002968</v>
      </c>
      <c r="AD33">
        <v>1.4225650300851029</v>
      </c>
      <c r="AE33">
        <v>1.4733970950677009</v>
      </c>
      <c r="AF33" s="3">
        <v>1.5253300557063412</v>
      </c>
      <c r="AG33" s="3">
        <v>1.5783707580592723</v>
      </c>
      <c r="AH33" s="8">
        <v>1.632526048184743</v>
      </c>
      <c r="AI33">
        <v>1.6878027721410034</v>
      </c>
      <c r="AJ33">
        <v>1.7442077759863017</v>
      </c>
      <c r="AK33">
        <v>1.8017479057788874</v>
      </c>
      <c r="AL33">
        <v>1.8604300075770097</v>
      </c>
      <c r="AM33">
        <v>1.920260927438918</v>
      </c>
      <c r="AN33">
        <v>1.9812475114228607</v>
      </c>
      <c r="AO33">
        <v>2.043396605587088</v>
      </c>
      <c r="AP33">
        <v>2.1067150559898482</v>
      </c>
      <c r="AQ33" s="10">
        <v>2.1712097086893909</v>
      </c>
      <c r="AR33" s="10">
        <v>2.2368874097439657</v>
      </c>
      <c r="AS33">
        <v>2.3037550052118201</v>
      </c>
      <c r="AT33" s="9">
        <v>2.3718193411512054</v>
      </c>
      <c r="AU33" s="9">
        <v>2.4410872636203691</v>
      </c>
      <c r="AV33" s="9">
        <v>2.5115656186775608</v>
      </c>
      <c r="AW33">
        <v>2.5832612523810301</v>
      </c>
      <c r="AX33">
        <v>2.6561810107890258</v>
      </c>
      <c r="AY33">
        <v>2.7303317399597966</v>
      </c>
      <c r="AZ33">
        <v>2.8057202859515935</v>
      </c>
      <c r="BA33">
        <v>2.882353494822663</v>
      </c>
      <c r="BB33">
        <v>2.9602382126312556</v>
      </c>
      <c r="BC33">
        <v>3.0393812854356215</v>
      </c>
      <c r="BD33">
        <v>3.1197895592940075</v>
      </c>
      <c r="BE33">
        <v>3.2014698802646646</v>
      </c>
      <c r="BF33">
        <v>3.2844290944058421</v>
      </c>
      <c r="BG33">
        <v>3.3686740477757873</v>
      </c>
      <c r="BH33">
        <v>3.4542115864327507</v>
      </c>
      <c r="BI33">
        <v>3.5410485564349821</v>
      </c>
    </row>
    <row r="34" spans="10:61" x14ac:dyDescent="0.3">
      <c r="J34" s="2">
        <f t="shared" si="1"/>
        <v>0.38000000000000023</v>
      </c>
      <c r="K34">
        <v>0.64873194100352338</v>
      </c>
      <c r="L34">
        <v>0.67886190662107115</v>
      </c>
      <c r="M34">
        <v>0.70991081301067094</v>
      </c>
      <c r="N34">
        <v>0.74188512518665417</v>
      </c>
      <c r="O34">
        <v>0.77479130816335284</v>
      </c>
      <c r="P34">
        <v>0.80863582695509828</v>
      </c>
      <c r="Q34">
        <v>0.84342514657622258</v>
      </c>
      <c r="R34">
        <v>0.87916573204105686</v>
      </c>
      <c r="S34">
        <v>0.91586404836393343</v>
      </c>
      <c r="T34">
        <v>0.95352656055918295</v>
      </c>
      <c r="U34">
        <v>0.99215973364113852</v>
      </c>
      <c r="V34">
        <v>1.0317700326241308</v>
      </c>
      <c r="W34" s="5">
        <v>1.0723639225224912</v>
      </c>
      <c r="X34" s="5">
        <v>1.1139478683505526</v>
      </c>
      <c r="Y34">
        <v>1.1565283351226454</v>
      </c>
      <c r="Z34">
        <v>1.2001117878531022</v>
      </c>
      <c r="AA34" s="13">
        <v>1.2447046915562545</v>
      </c>
      <c r="AB34" s="13">
        <v>1.2903135112464335</v>
      </c>
      <c r="AC34">
        <v>1.3369447119379714</v>
      </c>
      <c r="AD34">
        <v>1.3846047586451997</v>
      </c>
      <c r="AE34" s="3">
        <v>1.4333001163824495</v>
      </c>
      <c r="AF34" s="3">
        <v>1.4830372501640532</v>
      </c>
      <c r="AG34" s="8">
        <v>1.5338226250043427</v>
      </c>
      <c r="AH34">
        <v>1.5856627059176489</v>
      </c>
      <c r="AI34">
        <v>1.6385639579183042</v>
      </c>
      <c r="AJ34">
        <v>1.6925328460206392</v>
      </c>
      <c r="AK34">
        <v>1.7475758352389867</v>
      </c>
      <c r="AL34">
        <v>1.8036993905876775</v>
      </c>
      <c r="AM34">
        <v>1.860909977081044</v>
      </c>
      <c r="AN34">
        <v>1.9192140597334182</v>
      </c>
      <c r="AO34">
        <v>1.9786181035591306</v>
      </c>
      <c r="AP34" s="10">
        <v>2.0391285735725133</v>
      </c>
      <c r="AQ34" s="10">
        <v>2.1007519347878985</v>
      </c>
      <c r="AR34">
        <v>2.1634946522196166</v>
      </c>
      <c r="AS34" s="9">
        <v>2.2273631908820009</v>
      </c>
      <c r="AT34" s="9">
        <v>2.2923640157893823</v>
      </c>
      <c r="AU34" s="9">
        <v>2.3585035919560928</v>
      </c>
      <c r="AV34">
        <v>2.4257883843964629</v>
      </c>
      <c r="AW34">
        <v>2.4942248581248259</v>
      </c>
      <c r="AX34">
        <v>2.5638194781555126</v>
      </c>
      <c r="AY34">
        <v>2.6345787095028546</v>
      </c>
      <c r="AZ34">
        <v>2.7065090171811841</v>
      </c>
      <c r="BA34">
        <v>2.7796168662048322</v>
      </c>
      <c r="BB34">
        <v>2.8539087215881307</v>
      </c>
      <c r="BC34">
        <v>2.9293910483454111</v>
      </c>
      <c r="BD34">
        <v>3.0060703114910061</v>
      </c>
      <c r="BE34">
        <v>3.0839529760392463</v>
      </c>
      <c r="BF34">
        <v>3.1630455070044636</v>
      </c>
      <c r="BG34">
        <v>3.2433543694009899</v>
      </c>
      <c r="BH34">
        <v>3.3248860282431565</v>
      </c>
      <c r="BI34">
        <v>3.4076469485452954</v>
      </c>
    </row>
    <row r="35" spans="10:61" x14ac:dyDescent="0.3">
      <c r="J35" s="2">
        <f t="shared" si="1"/>
        <v>0.39000000000000024</v>
      </c>
      <c r="K35">
        <v>0.64112038474491284</v>
      </c>
      <c r="L35">
        <v>0.6702335127446869</v>
      </c>
      <c r="M35">
        <v>0.70021768877520696</v>
      </c>
      <c r="N35">
        <v>0.73107902657420132</v>
      </c>
      <c r="O35">
        <v>0.76282363987939861</v>
      </c>
      <c r="P35">
        <v>0.79545764242852723</v>
      </c>
      <c r="Q35">
        <v>0.82898714795931561</v>
      </c>
      <c r="R35">
        <v>0.86341827020949247</v>
      </c>
      <c r="S35">
        <v>0.89875712291678633</v>
      </c>
      <c r="T35">
        <v>0.93500981981892528</v>
      </c>
      <c r="U35">
        <v>0.97218247465363805</v>
      </c>
      <c r="V35" s="5">
        <v>1.0102812011586531</v>
      </c>
      <c r="W35" s="5">
        <v>1.0493121130716989</v>
      </c>
      <c r="X35">
        <v>1.0892813241305042</v>
      </c>
      <c r="Y35" s="5">
        <v>1.1301949480727969</v>
      </c>
      <c r="Z35" s="5">
        <v>1.172059098636306</v>
      </c>
      <c r="AA35" s="13">
        <v>1.2148798895587596</v>
      </c>
      <c r="AB35">
        <v>1.2586634345778864</v>
      </c>
      <c r="AC35">
        <v>1.3034158474314153</v>
      </c>
      <c r="AD35" s="3">
        <v>1.3491432418570741</v>
      </c>
      <c r="AE35" s="3">
        <v>1.3958517315925913</v>
      </c>
      <c r="AF35" s="8">
        <v>1.4435474303756959</v>
      </c>
      <c r="AG35">
        <v>1.4922364519441162</v>
      </c>
      <c r="AH35">
        <v>1.5419249100355807</v>
      </c>
      <c r="AI35">
        <v>1.5926189183878172</v>
      </c>
      <c r="AJ35">
        <v>1.6443245907385551</v>
      </c>
      <c r="AK35" s="15">
        <v>1.6970480408255226</v>
      </c>
      <c r="AL35">
        <v>1.7507953823864479</v>
      </c>
      <c r="AM35">
        <v>1.8055727291590604</v>
      </c>
      <c r="AN35">
        <v>1.8613861948810873</v>
      </c>
      <c r="AO35">
        <v>1.9182418932902581</v>
      </c>
      <c r="AP35" s="10">
        <v>1.9761459381243003</v>
      </c>
      <c r="AQ35">
        <v>2.0351044431209431</v>
      </c>
      <c r="AR35" s="9">
        <v>2.0951235220179147</v>
      </c>
      <c r="AS35" s="9">
        <v>2.1562092885529447</v>
      </c>
      <c r="AT35" s="9">
        <v>2.2183678564637597</v>
      </c>
      <c r="AU35">
        <v>2.2816053394880895</v>
      </c>
      <c r="AV35">
        <v>2.3459278513636619</v>
      </c>
      <c r="AW35">
        <v>2.4113415058282062</v>
      </c>
      <c r="AX35">
        <v>2.47785241661945</v>
      </c>
      <c r="AY35">
        <v>2.5454666974751219</v>
      </c>
      <c r="AZ35">
        <v>2.6141904621329513</v>
      </c>
      <c r="BA35">
        <v>2.6840298243306653</v>
      </c>
      <c r="BB35">
        <v>2.7549908978059934</v>
      </c>
      <c r="BC35">
        <v>2.8270797962966641</v>
      </c>
      <c r="BD35">
        <v>2.9003026335404045</v>
      </c>
      <c r="BE35">
        <v>2.9746655232749455</v>
      </c>
      <c r="BF35">
        <v>3.0501745792380137</v>
      </c>
      <c r="BG35">
        <v>3.1268359151673377</v>
      </c>
      <c r="BH35">
        <v>3.2046556448006474</v>
      </c>
      <c r="BI35">
        <v>3.2836398818756694</v>
      </c>
    </row>
    <row r="36" spans="10:61" x14ac:dyDescent="0.3">
      <c r="J36" s="2">
        <f t="shared" si="1"/>
        <v>0.40000000000000024</v>
      </c>
      <c r="K36">
        <v>0.6339456839943064</v>
      </c>
      <c r="L36">
        <v>0.66210482053034192</v>
      </c>
      <c r="M36">
        <v>0.69109070324124977</v>
      </c>
      <c r="N36">
        <v>0.72090912137300234</v>
      </c>
      <c r="O36">
        <v>0.75156586417157256</v>
      </c>
      <c r="P36">
        <v>0.78306672088293294</v>
      </c>
      <c r="Q36">
        <v>0.81541748075305676</v>
      </c>
      <c r="R36">
        <v>0.84862393302791583</v>
      </c>
      <c r="S36">
        <v>0.88269186695348378</v>
      </c>
      <c r="T36">
        <v>0.91762707177573244</v>
      </c>
      <c r="U36" s="5">
        <v>0.95343533674063519</v>
      </c>
      <c r="V36" s="5">
        <v>0.99012245109416419</v>
      </c>
      <c r="W36">
        <v>1.0276942040822925</v>
      </c>
      <c r="X36" s="5">
        <v>1.0661563849509927</v>
      </c>
      <c r="Y36" s="5">
        <v>1.1055147829462377</v>
      </c>
      <c r="Z36">
        <v>1.1457751873140001</v>
      </c>
      <c r="AA36">
        <v>1.186943387300252</v>
      </c>
      <c r="AB36">
        <v>1.2290251721509671</v>
      </c>
      <c r="AC36" s="3">
        <v>1.2720263311121174</v>
      </c>
      <c r="AD36" s="3">
        <v>1.3159526534296757</v>
      </c>
      <c r="AE36" s="8">
        <v>1.3608099283496149</v>
      </c>
      <c r="AF36">
        <v>1.4066039451179073</v>
      </c>
      <c r="AG36">
        <v>1.4533404929805269</v>
      </c>
      <c r="AH36">
        <v>1.5010253611834441</v>
      </c>
      <c r="AI36">
        <v>1.5496643389726339</v>
      </c>
      <c r="AJ36" s="15">
        <v>1.5992632155940671</v>
      </c>
      <c r="AK36" s="15">
        <v>1.649827780293718</v>
      </c>
      <c r="AL36">
        <v>1.7013638223175582</v>
      </c>
      <c r="AM36">
        <v>1.7538771309115608</v>
      </c>
      <c r="AN36">
        <v>1.8073734953216989</v>
      </c>
      <c r="AO36">
        <v>1.8618587047939446</v>
      </c>
      <c r="AP36">
        <v>1.9173385485742704</v>
      </c>
      <c r="AQ36" s="9">
        <v>1.9738188159086496</v>
      </c>
      <c r="AR36" s="9">
        <v>2.0313052960430547</v>
      </c>
      <c r="AS36" s="9">
        <v>2.0898037782234584</v>
      </c>
      <c r="AT36">
        <v>2.1493200516958333</v>
      </c>
      <c r="AU36">
        <v>2.2098599057061521</v>
      </c>
      <c r="AV36">
        <v>2.2714291295003881</v>
      </c>
      <c r="AW36">
        <v>2.3340335123245133</v>
      </c>
      <c r="AX36">
        <v>2.3976788434245</v>
      </c>
      <c r="AY36">
        <v>2.462370912046322</v>
      </c>
      <c r="AZ36">
        <v>2.5281155074359516</v>
      </c>
      <c r="BA36">
        <v>2.5949184188393604</v>
      </c>
      <c r="BB36">
        <v>2.6627854355025233</v>
      </c>
      <c r="BC36">
        <v>2.7317223466714111</v>
      </c>
      <c r="BD36">
        <v>2.801734941591997</v>
      </c>
      <c r="BE36">
        <v>2.8728290095102547</v>
      </c>
      <c r="BF36">
        <v>2.9450103396721561</v>
      </c>
      <c r="BG36">
        <v>3.0182847213236723</v>
      </c>
      <c r="BH36">
        <v>3.0926579437107784</v>
      </c>
      <c r="BI36">
        <v>3.1681357960794467</v>
      </c>
    </row>
    <row r="37" spans="10:61" x14ac:dyDescent="0.3">
      <c r="J37" s="2">
        <f>J36+0.01</f>
        <v>0.41000000000000025</v>
      </c>
      <c r="K37">
        <v>0.62717185140270082</v>
      </c>
      <c r="L37">
        <v>0.6544343861300691</v>
      </c>
      <c r="M37">
        <v>0.68248260780624315</v>
      </c>
      <c r="N37">
        <v>0.71132200535020162</v>
      </c>
      <c r="O37">
        <v>0.74095806768092409</v>
      </c>
      <c r="P37">
        <v>0.77139628371738933</v>
      </c>
      <c r="Q37">
        <v>0.80264214237857678</v>
      </c>
      <c r="R37">
        <v>0.83470113258346523</v>
      </c>
      <c r="S37">
        <v>0.8675787432510339</v>
      </c>
      <c r="T37" s="5">
        <v>0.90128046330026179</v>
      </c>
      <c r="U37" s="5">
        <v>0.93581178165012802</v>
      </c>
      <c r="V37">
        <v>0.97117818721961191</v>
      </c>
      <c r="W37" s="5">
        <v>1.007385168927692</v>
      </c>
      <c r="X37" s="5">
        <v>1.0444382156933478</v>
      </c>
      <c r="Y37">
        <v>1.0823428164355584</v>
      </c>
      <c r="Z37">
        <v>1.1211044600733027</v>
      </c>
      <c r="AA37">
        <v>1.1607286355255599</v>
      </c>
      <c r="AB37" s="3">
        <v>1.2012208317113091</v>
      </c>
      <c r="AC37" s="3">
        <v>1.2425865375495291</v>
      </c>
      <c r="AD37" s="8">
        <v>1.2848312419591998</v>
      </c>
      <c r="AE37">
        <v>1.3279604338592992</v>
      </c>
      <c r="AF37">
        <v>1.3719796021688071</v>
      </c>
      <c r="AG37">
        <v>1.4168942358067023</v>
      </c>
      <c r="AH37">
        <v>1.4627098236919638</v>
      </c>
      <c r="AI37" s="15">
        <v>1.5094318547435714</v>
      </c>
      <c r="AJ37" s="15">
        <v>1.5570658178805032</v>
      </c>
      <c r="AK37">
        <v>1.605617202021739</v>
      </c>
      <c r="AL37">
        <v>1.6550914960862573</v>
      </c>
      <c r="AM37">
        <v>1.705494188993038</v>
      </c>
      <c r="AN37">
        <v>1.7568307696610594</v>
      </c>
      <c r="AO37">
        <v>1.8091067270093009</v>
      </c>
      <c r="AP37">
        <v>1.8623275499567411</v>
      </c>
      <c r="AQ37">
        <v>1.9164987274223604</v>
      </c>
      <c r="AR37" s="9">
        <v>1.9716257483251367</v>
      </c>
      <c r="AS37">
        <v>2.0277141015840496</v>
      </c>
      <c r="AT37">
        <v>2.0847692761180778</v>
      </c>
      <c r="AU37">
        <v>2.1427967608462004</v>
      </c>
      <c r="AV37">
        <v>2.2018020446873972</v>
      </c>
      <c r="AW37">
        <v>2.2617906165606465</v>
      </c>
      <c r="AX37">
        <v>2.3227679653849278</v>
      </c>
      <c r="AY37">
        <v>2.3847395800792199</v>
      </c>
      <c r="AZ37">
        <v>2.4477109495625013</v>
      </c>
      <c r="BA37">
        <v>2.5116875627537536</v>
      </c>
      <c r="BB37">
        <v>2.5766749085719525</v>
      </c>
      <c r="BC37">
        <v>2.6426784759360795</v>
      </c>
      <c r="BD37">
        <v>2.7097037537651132</v>
      </c>
      <c r="BE37">
        <v>2.777756230978031</v>
      </c>
      <c r="BF37">
        <v>2.8468413964938151</v>
      </c>
      <c r="BG37">
        <v>2.9169647392314415</v>
      </c>
      <c r="BH37">
        <v>2.988131748109891</v>
      </c>
      <c r="BI37">
        <v>3.0603479120481429</v>
      </c>
    </row>
    <row r="38" spans="10:61" x14ac:dyDescent="0.3">
      <c r="J38" s="2">
        <f t="shared" si="1"/>
        <v>0.42000000000000026</v>
      </c>
      <c r="K38">
        <v>0.62076670101577114</v>
      </c>
      <c r="L38">
        <v>0.64718516654148117</v>
      </c>
      <c r="M38">
        <v>0.67435119528268506</v>
      </c>
      <c r="N38">
        <v>0.70226999768698684</v>
      </c>
      <c r="O38">
        <v>0.73094678420199111</v>
      </c>
      <c r="P38">
        <v>0.76038676527530147</v>
      </c>
      <c r="Q38">
        <v>0.79059515135452307</v>
      </c>
      <c r="R38">
        <v>0.82157715288725885</v>
      </c>
      <c r="S38" s="5">
        <v>0.85333798032111363</v>
      </c>
      <c r="T38" s="5">
        <v>0.88588284410369111</v>
      </c>
      <c r="U38">
        <v>0.91921695468259623</v>
      </c>
      <c r="V38" s="5">
        <v>0.95334552250543247</v>
      </c>
      <c r="W38" s="5">
        <v>0.98827375801980388</v>
      </c>
      <c r="X38">
        <v>1.0240068716733151</v>
      </c>
      <c r="Y38">
        <v>1.0605500739135698</v>
      </c>
      <c r="Z38">
        <v>1.0979085751881725</v>
      </c>
      <c r="AA38" s="3">
        <v>1.1360875859447275</v>
      </c>
      <c r="AB38" s="3">
        <v>1.175092316630838</v>
      </c>
      <c r="AC38" s="8">
        <v>1.2149279776941091</v>
      </c>
      <c r="AD38">
        <v>1.2555997795821445</v>
      </c>
      <c r="AE38">
        <v>1.2971129327425488</v>
      </c>
      <c r="AF38">
        <v>1.3394726476229255</v>
      </c>
      <c r="AG38">
        <v>1.3826841346708791</v>
      </c>
      <c r="AH38" s="15">
        <v>1.4267526043340137</v>
      </c>
      <c r="AI38" s="15">
        <v>1.4716832670599336</v>
      </c>
      <c r="AJ38">
        <v>1.5174813332962427</v>
      </c>
      <c r="AK38">
        <v>1.5641520134905447</v>
      </c>
      <c r="AL38" s="10">
        <v>1.6117005180904449</v>
      </c>
      <c r="AM38" s="10">
        <v>1.6601320575435465</v>
      </c>
      <c r="AN38">
        <v>1.7094518422974538</v>
      </c>
      <c r="AO38">
        <v>1.7596650827997711</v>
      </c>
      <c r="AP38">
        <v>1.8107769894981032</v>
      </c>
      <c r="AQ38">
        <v>1.8627927728400531</v>
      </c>
      <c r="AR38">
        <v>1.9157176432732255</v>
      </c>
      <c r="AS38">
        <v>1.9695568112452242</v>
      </c>
      <c r="AT38">
        <v>2.024315487203654</v>
      </c>
      <c r="AU38">
        <v>2.0799988815961181</v>
      </c>
      <c r="AV38">
        <v>2.1366122048702216</v>
      </c>
      <c r="AW38">
        <v>2.1941606674735685</v>
      </c>
      <c r="AX38">
        <v>2.2526494798537624</v>
      </c>
      <c r="AY38">
        <v>2.3120838524584073</v>
      </c>
      <c r="AZ38">
        <v>2.3724689957351077</v>
      </c>
      <c r="BA38">
        <v>2.4338101201314686</v>
      </c>
      <c r="BB38">
        <v>2.4961124360950926</v>
      </c>
      <c r="BC38">
        <v>2.5593811540735856</v>
      </c>
      <c r="BD38">
        <v>2.6236214845145502</v>
      </c>
      <c r="BE38">
        <v>2.6888386378655911</v>
      </c>
      <c r="BF38">
        <v>2.7550378245743121</v>
      </c>
      <c r="BG38">
        <v>2.822224255088317</v>
      </c>
      <c r="BH38">
        <v>2.8904031398552119</v>
      </c>
      <c r="BI38">
        <v>2.9595796893225992</v>
      </c>
    </row>
    <row r="39" spans="10:61" x14ac:dyDescent="0.3">
      <c r="J39" s="2">
        <f t="shared" si="1"/>
        <v>0.43000000000000027</v>
      </c>
      <c r="K39">
        <v>0.61470136376971163</v>
      </c>
      <c r="L39">
        <v>0.64032395633823236</v>
      </c>
      <c r="M39">
        <v>0.6666586521788751</v>
      </c>
      <c r="N39">
        <v>0.6937104030821547</v>
      </c>
      <c r="O39">
        <v>0.72148416083858602</v>
      </c>
      <c r="P39">
        <v>0.74998487723868423</v>
      </c>
      <c r="Q39">
        <v>0.7792175040729642</v>
      </c>
      <c r="R39" s="5">
        <v>0.80918699313194076</v>
      </c>
      <c r="S39" s="5">
        <v>0.83989829620612877</v>
      </c>
      <c r="T39">
        <v>0.87135636508604319</v>
      </c>
      <c r="U39" s="5">
        <v>0.90356615156219899</v>
      </c>
      <c r="V39" s="5">
        <v>0.93653260742511135</v>
      </c>
      <c r="W39">
        <v>0.97026068446529468</v>
      </c>
      <c r="X39">
        <v>1.004755334473264</v>
      </c>
      <c r="Y39">
        <v>1.0400215092395346</v>
      </c>
      <c r="Z39" s="4">
        <v>1.0760641605546213</v>
      </c>
      <c r="AA39" s="3">
        <v>1.1128882402090388</v>
      </c>
      <c r="AB39" s="8">
        <v>1.1504986999933022</v>
      </c>
      <c r="AC39">
        <v>1.1889004916979262</v>
      </c>
      <c r="AD39">
        <v>1.2280985671134264</v>
      </c>
      <c r="AE39">
        <v>1.268097878030316</v>
      </c>
      <c r="AF39">
        <v>1.308903376239112</v>
      </c>
      <c r="AG39" s="15">
        <v>1.3505200135303286</v>
      </c>
      <c r="AH39" s="15">
        <v>1.3929527416944805</v>
      </c>
      <c r="AI39">
        <v>1.4362065125220829</v>
      </c>
      <c r="AJ39">
        <v>1.4802862778036496</v>
      </c>
      <c r="AK39" s="10">
        <v>1.5251969893296973</v>
      </c>
      <c r="AL39" s="10">
        <v>1.5709435988907396</v>
      </c>
      <c r="AM39">
        <v>1.6175310582772919</v>
      </c>
      <c r="AN39" s="9">
        <v>1.6649643192798698</v>
      </c>
      <c r="AO39">
        <v>1.7132483336889872</v>
      </c>
      <c r="AP39">
        <v>1.7623880532951588</v>
      </c>
      <c r="AQ39">
        <v>1.8123884298889004</v>
      </c>
      <c r="AR39">
        <v>1.8632544152607271</v>
      </c>
      <c r="AS39">
        <v>1.9149909612011526</v>
      </c>
      <c r="AT39">
        <v>1.9676030195006931</v>
      </c>
      <c r="AU39">
        <v>2.0210955419498631</v>
      </c>
      <c r="AV39">
        <v>2.0754734803391766</v>
      </c>
      <c r="AW39">
        <v>2.1307417864591498</v>
      </c>
      <c r="AX39">
        <v>2.1869054121002973</v>
      </c>
      <c r="AY39">
        <v>2.2439693090531341</v>
      </c>
      <c r="AZ39">
        <v>2.3019384291081746</v>
      </c>
      <c r="BA39">
        <v>2.3608177240559338</v>
      </c>
      <c r="BB39">
        <v>2.4206121456869272</v>
      </c>
      <c r="BC39">
        <v>2.4813266457916696</v>
      </c>
      <c r="BD39">
        <v>2.5429661761606748</v>
      </c>
      <c r="BE39">
        <v>2.6055356885844594</v>
      </c>
      <c r="BF39">
        <v>2.6690401348535371</v>
      </c>
      <c r="BG39">
        <v>2.7334844667584237</v>
      </c>
      <c r="BH39">
        <v>2.7988736360896329</v>
      </c>
      <c r="BI39">
        <v>2.8652125946376814</v>
      </c>
    </row>
    <row r="40" spans="10:61" x14ac:dyDescent="0.3">
      <c r="J40" s="2">
        <f t="shared" si="1"/>
        <v>0.44000000000000028</v>
      </c>
      <c r="K40">
        <v>0.6089498747171308</v>
      </c>
      <c r="L40">
        <v>0.63382090807889035</v>
      </c>
      <c r="M40">
        <v>0.6593710075019148</v>
      </c>
      <c r="N40">
        <v>0.68560488412407283</v>
      </c>
      <c r="O40">
        <v>0.71252724908323395</v>
      </c>
      <c r="P40">
        <v>0.74014281351726663</v>
      </c>
      <c r="Q40" s="14">
        <v>0.76845628856404002</v>
      </c>
      <c r="R40" s="14">
        <v>0.79747238536142317</v>
      </c>
      <c r="S40">
        <v>0.82719581504728512</v>
      </c>
      <c r="T40" s="5">
        <v>0.85763128875949435</v>
      </c>
      <c r="U40" s="5">
        <v>0.88878351763592023</v>
      </c>
      <c r="V40">
        <v>0.92065721281443169</v>
      </c>
      <c r="W40">
        <v>0.95325708543289778</v>
      </c>
      <c r="X40">
        <v>0.98658784662918697</v>
      </c>
      <c r="Y40" s="7">
        <v>1.0206542075411689</v>
      </c>
      <c r="Z40" s="4">
        <v>1.055460879306712</v>
      </c>
      <c r="AA40">
        <v>1.0910125730636855</v>
      </c>
      <c r="AB40">
        <v>1.1273139999499584</v>
      </c>
      <c r="AC40">
        <v>1.1643698711033994</v>
      </c>
      <c r="AD40">
        <v>1.2021848976618774</v>
      </c>
      <c r="AE40">
        <v>1.2407637907632623</v>
      </c>
      <c r="AF40" s="15">
        <v>1.2801112615454218</v>
      </c>
      <c r="AG40" s="15">
        <v>1.3202320211462255</v>
      </c>
      <c r="AH40">
        <v>1.3611307807035427</v>
      </c>
      <c r="AI40">
        <v>1.4028122513552415</v>
      </c>
      <c r="AJ40" s="10">
        <v>1.4452811442391913</v>
      </c>
      <c r="AK40" s="10">
        <v>1.4885421704932613</v>
      </c>
      <c r="AL40">
        <v>1.5326000412553198</v>
      </c>
      <c r="AM40" s="9">
        <v>1.5774594676632367</v>
      </c>
      <c r="AN40" s="9">
        <v>1.6231251608548802</v>
      </c>
      <c r="AO40" s="9">
        <v>1.6696018319681194</v>
      </c>
      <c r="AP40">
        <v>1.7168941921408236</v>
      </c>
      <c r="AQ40">
        <v>1.7650069525108616</v>
      </c>
      <c r="AR40">
        <v>1.813944824216102</v>
      </c>
      <c r="AS40">
        <v>1.8637125183944145</v>
      </c>
      <c r="AT40">
        <v>1.9143147461836671</v>
      </c>
      <c r="AU40">
        <v>1.9657562187217297</v>
      </c>
      <c r="AV40">
        <v>2.0180416471464708</v>
      </c>
      <c r="AW40">
        <v>2.0711757425957598</v>
      </c>
      <c r="AX40">
        <v>2.125163216207465</v>
      </c>
      <c r="AY40">
        <v>2.1800087791194556</v>
      </c>
      <c r="AZ40">
        <v>2.2357171424696003</v>
      </c>
      <c r="BA40">
        <v>2.2922930173957683</v>
      </c>
      <c r="BB40">
        <v>2.3497411150358292</v>
      </c>
      <c r="BC40">
        <v>2.4080661465276516</v>
      </c>
      <c r="BD40">
        <v>2.467272823009103</v>
      </c>
      <c r="BE40">
        <v>2.5273658556180547</v>
      </c>
      <c r="BF40">
        <v>2.588349955492375</v>
      </c>
      <c r="BG40">
        <v>2.6502298337699317</v>
      </c>
      <c r="BH40">
        <v>2.7130102015885948</v>
      </c>
      <c r="BI40">
        <v>2.7766957700862318</v>
      </c>
    </row>
    <row r="41" spans="10:61" x14ac:dyDescent="0.3">
      <c r="J41" s="2">
        <f t="shared" si="1"/>
        <v>0.45000000000000029</v>
      </c>
      <c r="K41">
        <v>0.60348881996391546</v>
      </c>
      <c r="L41">
        <v>0.62764912233281744</v>
      </c>
      <c r="M41">
        <v>0.65245766182164633</v>
      </c>
      <c r="N41">
        <v>0.67791892531100695</v>
      </c>
      <c r="O41">
        <v>0.70403739968150347</v>
      </c>
      <c r="P41" s="14">
        <v>0.73081757181374019</v>
      </c>
      <c r="Q41" s="14">
        <v>0.75826392858832181</v>
      </c>
      <c r="R41">
        <v>0.78638095688585241</v>
      </c>
      <c r="S41">
        <v>0.8151731435869366</v>
      </c>
      <c r="T41" s="5">
        <v>0.84464497557217855</v>
      </c>
      <c r="U41">
        <v>0.87480093972218265</v>
      </c>
      <c r="V41">
        <v>0.90564552291755329</v>
      </c>
      <c r="W41">
        <v>0.93718321203889521</v>
      </c>
      <c r="X41" s="7">
        <v>0.96941849396681234</v>
      </c>
      <c r="Y41" s="4">
        <v>1.0023558555819092</v>
      </c>
      <c r="Z41">
        <v>1.0359997837647901</v>
      </c>
      <c r="AA41">
        <v>1.0703547653960594</v>
      </c>
      <c r="AB41">
        <v>1.1054252873563217</v>
      </c>
      <c r="AC41">
        <v>1.1412158365261809</v>
      </c>
      <c r="AD41">
        <v>1.1777308997862423</v>
      </c>
      <c r="AE41" s="15">
        <v>1.2149749640171095</v>
      </c>
      <c r="AF41" s="15">
        <v>1.2529525160993868</v>
      </c>
      <c r="AG41">
        <v>1.2916680429136793</v>
      </c>
      <c r="AH41">
        <v>1.3311260313405906</v>
      </c>
      <c r="AI41" s="10">
        <v>1.3713309682607258</v>
      </c>
      <c r="AJ41" s="10">
        <v>1.4122873405546883</v>
      </c>
      <c r="AK41">
        <v>1.4539996351030833</v>
      </c>
      <c r="AL41" s="9">
        <v>1.4964723387865151</v>
      </c>
      <c r="AM41" s="9">
        <v>1.5397099384855877</v>
      </c>
      <c r="AN41" s="9">
        <v>1.5837169210809057</v>
      </c>
      <c r="AO41">
        <v>1.6284977734530737</v>
      </c>
      <c r="AP41">
        <v>1.6740569824826954</v>
      </c>
      <c r="AQ41">
        <v>1.7203990350503759</v>
      </c>
      <c r="AR41">
        <v>1.7675284180367195</v>
      </c>
      <c r="AS41">
        <v>1.8154496183223303</v>
      </c>
      <c r="AT41">
        <v>1.8641671227878125</v>
      </c>
      <c r="AU41">
        <v>1.9136854183137708</v>
      </c>
      <c r="AV41">
        <v>1.9640089917808097</v>
      </c>
      <c r="AW41">
        <v>2.015142330069533</v>
      </c>
      <c r="AX41">
        <v>2.0670899200605461</v>
      </c>
      <c r="AY41">
        <v>2.1198562486344525</v>
      </c>
      <c r="AZ41">
        <v>2.1734458026718566</v>
      </c>
      <c r="BA41">
        <v>2.2278630690533627</v>
      </c>
      <c r="BB41">
        <v>2.2831125346595758</v>
      </c>
      <c r="BC41">
        <v>2.3391986863711005</v>
      </c>
      <c r="BD41">
        <v>2.3961260110685401</v>
      </c>
      <c r="BE41">
        <v>2.4538989956324997</v>
      </c>
      <c r="BF41">
        <v>2.5125221269435829</v>
      </c>
      <c r="BG41">
        <v>2.5719998918823954</v>
      </c>
      <c r="BH41">
        <v>2.6323367773295407</v>
      </c>
      <c r="BI41">
        <v>2.6935372701656233</v>
      </c>
    </row>
    <row r="42" spans="10:61" x14ac:dyDescent="0.3">
      <c r="J42" s="2">
        <f t="shared" si="1"/>
        <v>0.4600000000000003</v>
      </c>
      <c r="K42">
        <v>0.5982970335347495</v>
      </c>
      <c r="L42">
        <v>0.62178429588487427</v>
      </c>
      <c r="M42">
        <v>0.64589098337438666</v>
      </c>
      <c r="N42">
        <v>0.67062137358765828</v>
      </c>
      <c r="O42" s="14">
        <v>0.69597974410906172</v>
      </c>
      <c r="P42" s="14">
        <v>0.72197037252296914</v>
      </c>
      <c r="Q42">
        <v>0.74859753641375271</v>
      </c>
      <c r="R42">
        <v>0.77586551336578446</v>
      </c>
      <c r="S42" s="5">
        <v>0.80377858096343702</v>
      </c>
      <c r="T42">
        <v>0.83234101679108186</v>
      </c>
      <c r="U42">
        <v>0.86155709843309136</v>
      </c>
      <c r="V42">
        <v>0.89143110347383814</v>
      </c>
      <c r="W42" s="7">
        <v>0.9219673094976939</v>
      </c>
      <c r="X42" s="4">
        <v>0.95316999408903091</v>
      </c>
      <c r="Y42">
        <v>0.98504343483222156</v>
      </c>
      <c r="Z42">
        <v>1.0175919093116379</v>
      </c>
      <c r="AA42">
        <v>1.0508196951116522</v>
      </c>
      <c r="AB42">
        <v>1.0847310698166364</v>
      </c>
      <c r="AC42">
        <v>1.1193303110109623</v>
      </c>
      <c r="AD42">
        <v>1.154621696279003</v>
      </c>
      <c r="AE42">
        <v>1.1906095032051305</v>
      </c>
      <c r="AF42">
        <v>1.2272980093737162</v>
      </c>
      <c r="AG42">
        <v>1.2646914923691328</v>
      </c>
      <c r="AH42" s="10">
        <v>1.3027942297757529</v>
      </c>
      <c r="AI42" s="10">
        <v>1.3416104991779478</v>
      </c>
      <c r="AJ42">
        <v>1.3811445781600902</v>
      </c>
      <c r="AK42" s="9">
        <v>1.4214007443065524</v>
      </c>
      <c r="AL42" s="9">
        <v>1.4623832752017061</v>
      </c>
      <c r="AM42" s="9">
        <v>1.504096448429924</v>
      </c>
      <c r="AN42">
        <v>1.5465445415755774</v>
      </c>
      <c r="AO42">
        <v>1.5897318322230394</v>
      </c>
      <c r="AP42">
        <v>1.6336625979566817</v>
      </c>
      <c r="AQ42">
        <v>1.6783411163608775</v>
      </c>
      <c r="AR42">
        <v>1.723771665019997</v>
      </c>
      <c r="AS42">
        <v>1.7699585215184142</v>
      </c>
      <c r="AT42">
        <v>1.8169059634405</v>
      </c>
      <c r="AU42">
        <v>1.8646182683706272</v>
      </c>
      <c r="AV42">
        <v>1.913099713893168</v>
      </c>
      <c r="AW42">
        <v>1.9623545775924944</v>
      </c>
      <c r="AX42">
        <v>2.0123871370529787</v>
      </c>
      <c r="AY42">
        <v>2.0632016698589926</v>
      </c>
      <c r="AZ42">
        <v>2.1148024535949097</v>
      </c>
      <c r="BA42">
        <v>2.1671937658451004</v>
      </c>
      <c r="BB42">
        <v>2.2203798841939379</v>
      </c>
      <c r="BC42">
        <v>2.274365086225794</v>
      </c>
      <c r="BD42">
        <v>2.3291536495250407</v>
      </c>
      <c r="BE42">
        <v>2.3847498516760508</v>
      </c>
      <c r="BF42">
        <v>2.4411579702631965</v>
      </c>
      <c r="BG42">
        <v>2.498382282870848</v>
      </c>
      <c r="BH42">
        <v>2.5564270670833804</v>
      </c>
      <c r="BI42">
        <v>2.6152966004851641</v>
      </c>
    </row>
    <row r="43" spans="10:61" x14ac:dyDescent="0.3">
      <c r="J43" s="2">
        <f t="shared" si="1"/>
        <v>0.47000000000000031</v>
      </c>
      <c r="K43">
        <v>0.59335533616597136</v>
      </c>
      <c r="L43">
        <v>0.61620441876833376</v>
      </c>
      <c r="M43">
        <v>0.63964596040355826</v>
      </c>
      <c r="N43" s="14">
        <v>0.66368404303897188</v>
      </c>
      <c r="O43" s="14">
        <v>0.68832274864190091</v>
      </c>
      <c r="P43">
        <v>0.71356615917967203</v>
      </c>
      <c r="Q43">
        <v>0.73941835661961197</v>
      </c>
      <c r="R43" s="13">
        <v>0.76588342292904732</v>
      </c>
      <c r="S43" s="13">
        <v>0.79296544007530434</v>
      </c>
      <c r="T43">
        <v>0.82066849002570996</v>
      </c>
      <c r="U43">
        <v>0.84899665474759056</v>
      </c>
      <c r="V43" s="3">
        <v>0.87795401620827263</v>
      </c>
      <c r="W43" s="4">
        <v>0.90754465637508297</v>
      </c>
      <c r="X43" s="8">
        <v>0.93777265721534797</v>
      </c>
      <c r="Y43">
        <v>0.96864210069639456</v>
      </c>
      <c r="Z43">
        <v>1.0001570687855492</v>
      </c>
      <c r="AA43">
        <v>1.0323216434501383</v>
      </c>
      <c r="AB43">
        <v>1.0651399066574885</v>
      </c>
      <c r="AC43">
        <v>1.098615940374926</v>
      </c>
      <c r="AD43">
        <v>1.1327538265697783</v>
      </c>
      <c r="AE43">
        <v>1.1675576472093716</v>
      </c>
      <c r="AF43">
        <v>1.2030314842610319</v>
      </c>
      <c r="AG43" s="10">
        <v>1.2391794196920864</v>
      </c>
      <c r="AH43" s="10">
        <v>1.2760055354698616</v>
      </c>
      <c r="AI43">
        <v>1.313513913561684</v>
      </c>
      <c r="AJ43" s="9">
        <v>1.3517086359348802</v>
      </c>
      <c r="AK43" s="9">
        <v>1.3905937845567766</v>
      </c>
      <c r="AL43" s="9">
        <v>1.4301734413947</v>
      </c>
      <c r="AM43">
        <v>1.4704516884159771</v>
      </c>
      <c r="AN43">
        <v>1.5114326075879343</v>
      </c>
      <c r="AO43">
        <v>1.5531202808778979</v>
      </c>
      <c r="AP43">
        <v>1.5955187902531953</v>
      </c>
      <c r="AQ43">
        <v>1.6386322176811523</v>
      </c>
      <c r="AR43">
        <v>1.6824646451290959</v>
      </c>
      <c r="AS43">
        <v>1.7270201545643522</v>
      </c>
      <c r="AT43">
        <v>1.7723028279542481</v>
      </c>
      <c r="AU43">
        <v>1.8183167472661106</v>
      </c>
      <c r="AV43">
        <v>1.8650659944672658</v>
      </c>
      <c r="AW43">
        <v>1.9125546515250405</v>
      </c>
      <c r="AX43">
        <v>1.9607868004067608</v>
      </c>
      <c r="AY43">
        <v>2.0097665230797541</v>
      </c>
      <c r="AZ43">
        <v>2.0594979015113464</v>
      </c>
      <c r="BA43">
        <v>2.1099850176688637</v>
      </c>
      <c r="BB43">
        <v>2.1612319535196338</v>
      </c>
      <c r="BC43">
        <v>2.2132427910309831</v>
      </c>
      <c r="BD43">
        <v>2.2660216121702375</v>
      </c>
      <c r="BE43">
        <v>2.3195724989047242</v>
      </c>
      <c r="BF43">
        <v>2.3738995332017687</v>
      </c>
      <c r="BG43">
        <v>2.4290067970286993</v>
      </c>
      <c r="BH43">
        <v>2.4848983723528417</v>
      </c>
      <c r="BI43">
        <v>2.541578341141522</v>
      </c>
    </row>
    <row r="44" spans="10:61" x14ac:dyDescent="0.3">
      <c r="J44" s="2">
        <f t="shared" si="1"/>
        <v>0.48000000000000032</v>
      </c>
      <c r="K44">
        <v>0.58864630945023744</v>
      </c>
      <c r="L44">
        <v>0.61088951244572398</v>
      </c>
      <c r="M44" s="14">
        <v>0.63369990086834294</v>
      </c>
      <c r="N44" s="14">
        <v>0.65708137359922925</v>
      </c>
      <c r="O44">
        <v>0.68103782951951808</v>
      </c>
      <c r="P44">
        <v>0.70557316751034416</v>
      </c>
      <c r="Q44" s="13">
        <v>0.7306912864528432</v>
      </c>
      <c r="R44" s="13">
        <v>0.75639608522814994</v>
      </c>
      <c r="S44">
        <v>0.78269146271739931</v>
      </c>
      <c r="T44">
        <v>0.80958131780172649</v>
      </c>
      <c r="U44" s="3">
        <v>0.83706954936226663</v>
      </c>
      <c r="V44" s="3">
        <v>0.86516005628015491</v>
      </c>
      <c r="W44" s="8">
        <v>0.89385673743652616</v>
      </c>
      <c r="X44">
        <v>0.92316349171251566</v>
      </c>
      <c r="Y44">
        <v>0.95308421798925846</v>
      </c>
      <c r="Z44">
        <v>0.98362281514788941</v>
      </c>
      <c r="AA44">
        <v>1.0147831820695437</v>
      </c>
      <c r="AB44">
        <v>1.0465692176353569</v>
      </c>
      <c r="AC44">
        <v>1.0789848207264632</v>
      </c>
      <c r="AD44">
        <v>1.1120338902239983</v>
      </c>
      <c r="AE44">
        <v>1.1457203250090973</v>
      </c>
      <c r="AF44" s="10">
        <v>1.180048023962895</v>
      </c>
      <c r="AG44" s="10">
        <v>1.2150208859665266</v>
      </c>
      <c r="AH44">
        <v>1.2506428099011269</v>
      </c>
      <c r="AI44" s="9">
        <v>1.2869176946478313</v>
      </c>
      <c r="AJ44" s="9">
        <v>1.3238494390877751</v>
      </c>
      <c r="AK44" s="9">
        <v>1.3614419421020929</v>
      </c>
      <c r="AL44">
        <v>1.3996991025719199</v>
      </c>
      <c r="AM44">
        <v>1.4386248193783913</v>
      </c>
      <c r="AN44">
        <v>1.4782229914026421</v>
      </c>
      <c r="AO44">
        <v>1.5184975175258077</v>
      </c>
      <c r="AP44">
        <v>1.5594522966290223</v>
      </c>
      <c r="AQ44">
        <v>1.6010912275934219</v>
      </c>
      <c r="AR44">
        <v>1.6434182093001413</v>
      </c>
      <c r="AS44">
        <v>1.6864371406303154</v>
      </c>
      <c r="AT44">
        <v>1.7301519204650795</v>
      </c>
      <c r="AU44">
        <v>1.7745664476855685</v>
      </c>
      <c r="AV44">
        <v>1.8196846211729176</v>
      </c>
      <c r="AW44">
        <v>1.8655103398082618</v>
      </c>
      <c r="AX44">
        <v>1.9120475024727361</v>
      </c>
      <c r="AY44">
        <v>1.9593000080474754</v>
      </c>
      <c r="AZ44">
        <v>2.007271755413615</v>
      </c>
      <c r="BA44">
        <v>2.0559666434522912</v>
      </c>
      <c r="BB44">
        <v>2.1053885710446374</v>
      </c>
      <c r="BC44">
        <v>2.1555414370717889</v>
      </c>
      <c r="BD44">
        <v>2.206429140414881</v>
      </c>
      <c r="BE44">
        <v>2.258055579955049</v>
      </c>
      <c r="BF44">
        <v>2.3104246545734277</v>
      </c>
      <c r="BG44">
        <v>2.3635402631511524</v>
      </c>
      <c r="BH44">
        <v>2.4174063045693588</v>
      </c>
      <c r="BI44">
        <v>2.4720266777091804</v>
      </c>
    </row>
    <row r="45" spans="10:61" x14ac:dyDescent="0.3">
      <c r="J45" s="2">
        <f t="shared" si="1"/>
        <v>0.49000000000000032</v>
      </c>
      <c r="K45">
        <v>0.58415409990475997</v>
      </c>
      <c r="L45" s="14">
        <v>0.60582140280073593</v>
      </c>
      <c r="M45" s="14">
        <v>0.62803217220623664</v>
      </c>
      <c r="N45">
        <v>0.6507901354159481</v>
      </c>
      <c r="O45">
        <v>0.67409901972455644</v>
      </c>
      <c r="P45" s="13">
        <v>0.69796255242674754</v>
      </c>
      <c r="Q45" s="13">
        <v>0.72238446081720775</v>
      </c>
      <c r="R45">
        <v>0.74736847219062275</v>
      </c>
      <c r="S45">
        <v>0.77291831384167875</v>
      </c>
      <c r="T45" s="3">
        <v>0.79903771306506222</v>
      </c>
      <c r="U45" s="3">
        <v>0.82573039715545837</v>
      </c>
      <c r="V45" s="8">
        <v>0.85300009340755378</v>
      </c>
      <c r="W45">
        <v>0.88085052911603434</v>
      </c>
      <c r="X45">
        <v>0.90928543157558628</v>
      </c>
      <c r="Y45">
        <v>0.9383085280808956</v>
      </c>
      <c r="Z45">
        <v>0.96792354592664831</v>
      </c>
      <c r="AA45">
        <v>0.99813421240753031</v>
      </c>
      <c r="AB45">
        <v>1.0289442548182277</v>
      </c>
      <c r="AC45">
        <v>1.0603574004534269</v>
      </c>
      <c r="AD45">
        <v>1.0923773766078135</v>
      </c>
      <c r="AE45" s="10">
        <v>1.1250079105760735</v>
      </c>
      <c r="AF45" s="10">
        <v>1.1582527296528933</v>
      </c>
      <c r="AG45">
        <v>1.192115561132959</v>
      </c>
      <c r="AH45" s="9">
        <v>1.2266001323109559</v>
      </c>
      <c r="AI45" s="9">
        <v>1.2617101704815714</v>
      </c>
      <c r="AJ45" s="9">
        <v>1.2974494029394903</v>
      </c>
      <c r="AK45">
        <v>1.333821556979399</v>
      </c>
      <c r="AL45">
        <v>1.3708303598959839</v>
      </c>
      <c r="AM45">
        <v>1.4084795389839304</v>
      </c>
      <c r="AN45">
        <v>1.4467728215379252</v>
      </c>
      <c r="AO45">
        <v>1.485713934852654</v>
      </c>
      <c r="AP45">
        <v>1.5253066062228029</v>
      </c>
      <c r="AQ45">
        <v>1.5655545629430583</v>
      </c>
      <c r="AR45">
        <v>1.6064615323081053</v>
      </c>
      <c r="AS45">
        <v>1.648031241612631</v>
      </c>
      <c r="AT45">
        <v>1.6902674181513211</v>
      </c>
      <c r="AU45">
        <v>1.7331737892188614</v>
      </c>
      <c r="AV45">
        <v>1.7767540821099383</v>
      </c>
      <c r="AW45">
        <v>1.8210120241192373</v>
      </c>
      <c r="AX45">
        <v>1.8659513425414453</v>
      </c>
      <c r="AY45">
        <v>1.9115757646712477</v>
      </c>
      <c r="AZ45">
        <v>1.9578890178033308</v>
      </c>
      <c r="BA45">
        <v>2.0048948292323798</v>
      </c>
      <c r="BB45">
        <v>2.0525969262530821</v>
      </c>
      <c r="BC45">
        <v>2.1009990361601236</v>
      </c>
      <c r="BD45">
        <v>2.1501048862481893</v>
      </c>
      <c r="BE45">
        <v>2.1999182038119667</v>
      </c>
      <c r="BF45">
        <v>2.2504427161461393</v>
      </c>
      <c r="BG45">
        <v>2.3016821505453962</v>
      </c>
      <c r="BH45">
        <v>2.353640234304422</v>
      </c>
      <c r="BI45">
        <v>2.4063206947179028</v>
      </c>
    </row>
    <row r="46" spans="10:61" x14ac:dyDescent="0.3">
      <c r="J46" s="2">
        <f t="shared" si="1"/>
        <v>0.50000000000000033</v>
      </c>
      <c r="K46" s="14">
        <v>0.57986424846267581</v>
      </c>
      <c r="L46" s="14">
        <v>0.6009835226901219</v>
      </c>
      <c r="M46">
        <v>0.62262397509146084</v>
      </c>
      <c r="N46">
        <v>0.64478917194675767</v>
      </c>
      <c r="O46" s="13">
        <v>0.66748267953607832</v>
      </c>
      <c r="P46" s="13">
        <v>0.69070806413948749</v>
      </c>
      <c r="Q46">
        <v>0.71446889203705133</v>
      </c>
      <c r="R46">
        <v>0.73876872950883454</v>
      </c>
      <c r="S46" s="3">
        <v>0.76361114283490283</v>
      </c>
      <c r="T46" s="3">
        <v>0.78899969829532157</v>
      </c>
      <c r="U46" s="8">
        <v>0.81493796217015624</v>
      </c>
      <c r="V46">
        <v>0.84142950073947209</v>
      </c>
      <c r="W46">
        <v>0.86847788028333428</v>
      </c>
      <c r="X46">
        <v>0.89608666708180862</v>
      </c>
      <c r="Y46">
        <v>0.92425942741496048</v>
      </c>
      <c r="Z46">
        <v>0.95299972756285478</v>
      </c>
      <c r="AA46">
        <v>0.98231113380555746</v>
      </c>
      <c r="AB46">
        <v>1.0121972124231335</v>
      </c>
      <c r="AC46">
        <v>1.0426615296956485</v>
      </c>
      <c r="AD46">
        <v>1.0737076519031681</v>
      </c>
      <c r="AE46" s="10">
        <v>1.1053391453257568</v>
      </c>
      <c r="AF46">
        <v>1.1375595762434807</v>
      </c>
      <c r="AG46" s="9">
        <v>1.1703725109364052</v>
      </c>
      <c r="AH46" s="9">
        <v>1.2037815156845955</v>
      </c>
      <c r="AI46" s="9">
        <v>1.2377901567681171</v>
      </c>
      <c r="AJ46">
        <v>1.2724020004670351</v>
      </c>
      <c r="AK46">
        <v>1.307620613061415</v>
      </c>
      <c r="AL46">
        <v>1.3434495608313224</v>
      </c>
      <c r="AM46">
        <v>1.3798924100568222</v>
      </c>
      <c r="AN46">
        <v>1.4169527270179809</v>
      </c>
      <c r="AO46">
        <v>1.4546340779948621</v>
      </c>
      <c r="AP46">
        <v>1.4929400292675332</v>
      </c>
      <c r="AQ46">
        <v>1.5318741471160577</v>
      </c>
      <c r="AR46">
        <v>1.5714399978205025</v>
      </c>
      <c r="AS46">
        <v>1.6116411476609325</v>
      </c>
      <c r="AT46">
        <v>1.6524811629174125</v>
      </c>
      <c r="AU46">
        <v>1.6939636098700084</v>
      </c>
      <c r="AV46">
        <v>1.7360920547987855</v>
      </c>
      <c r="AW46">
        <v>1.7788700639838091</v>
      </c>
      <c r="AX46">
        <v>1.8223012037051451</v>
      </c>
      <c r="AY46">
        <v>1.866389040242858</v>
      </c>
      <c r="AZ46">
        <v>1.9111371398770143</v>
      </c>
      <c r="BA46">
        <v>1.9565490688876777</v>
      </c>
      <c r="BB46">
        <v>2.0026283935549158</v>
      </c>
      <c r="BC46">
        <v>2.0493786801587919</v>
      </c>
      <c r="BD46">
        <v>2.0968034949793721</v>
      </c>
      <c r="BE46">
        <v>2.144906404296723</v>
      </c>
      <c r="BF46">
        <v>2.1936909743909081</v>
      </c>
      <c r="BG46">
        <v>2.2431607715419943</v>
      </c>
      <c r="BH46">
        <v>2.2933193620300463</v>
      </c>
      <c r="BI46">
        <v>2.3441703121351289</v>
      </c>
    </row>
    <row r="47" spans="10:61" x14ac:dyDescent="0.3">
      <c r="J47" s="2">
        <f t="shared" si="1"/>
        <v>0.51000000000000034</v>
      </c>
      <c r="K47" s="14">
        <v>0.57576354164090071</v>
      </c>
      <c r="L47">
        <v>0.59636073968628234</v>
      </c>
      <c r="M47">
        <v>0.61745814615074535</v>
      </c>
      <c r="N47" s="13">
        <v>0.63905917603473805</v>
      </c>
      <c r="O47" s="13">
        <v>0.66116724433870888</v>
      </c>
      <c r="P47">
        <v>0.68378576606310604</v>
      </c>
      <c r="Q47">
        <v>0.70691815620837772</v>
      </c>
      <c r="R47" s="3">
        <v>0.7305678297749727</v>
      </c>
      <c r="S47" s="3">
        <v>0.75473820176333883</v>
      </c>
      <c r="T47" s="8">
        <v>0.77943268717392478</v>
      </c>
      <c r="U47">
        <v>0.80465470100717862</v>
      </c>
      <c r="V47">
        <v>0.83040765826354901</v>
      </c>
      <c r="W47">
        <v>0.8566949739434836</v>
      </c>
      <c r="X47">
        <v>0.88352006304743158</v>
      </c>
      <c r="Y47">
        <v>0.91088634057584073</v>
      </c>
      <c r="Z47">
        <v>0.93879722152915923</v>
      </c>
      <c r="AA47">
        <v>0.96725612090783597</v>
      </c>
      <c r="AB47">
        <v>0.99626645371231892</v>
      </c>
      <c r="AC47" s="5">
        <v>1.0258316349430565</v>
      </c>
      <c r="AD47" s="5">
        <v>1.0559550796004968</v>
      </c>
      <c r="AE47">
        <v>1.0866402026850885</v>
      </c>
      <c r="AF47" s="12">
        <v>1.1178904191972796</v>
      </c>
      <c r="AG47" s="9">
        <v>1.1497091441375189</v>
      </c>
      <c r="AH47" s="9">
        <v>1.182099792506254</v>
      </c>
      <c r="AI47">
        <v>1.2150657793039339</v>
      </c>
      <c r="AJ47">
        <v>1.2486105195310067</v>
      </c>
      <c r="AK47">
        <v>1.2827374281879202</v>
      </c>
      <c r="AL47">
        <v>1.3174499202751238</v>
      </c>
      <c r="AM47">
        <v>1.3527514107930649</v>
      </c>
      <c r="AN47">
        <v>1.3886453147421922</v>
      </c>
      <c r="AO47">
        <v>1.425135047122954</v>
      </c>
      <c r="AP47">
        <v>1.4622240229357988</v>
      </c>
      <c r="AQ47">
        <v>1.4999156571811745</v>
      </c>
      <c r="AR47">
        <v>1.5382133648595298</v>
      </c>
      <c r="AS47">
        <v>1.5771205609713126</v>
      </c>
      <c r="AT47">
        <v>1.6166406605169716</v>
      </c>
      <c r="AU47">
        <v>1.6567770784969551</v>
      </c>
      <c r="AV47">
        <v>1.697533229911711</v>
      </c>
      <c r="AW47">
        <v>1.7389125297616885</v>
      </c>
      <c r="AX47">
        <v>1.7809183930473353</v>
      </c>
      <c r="AY47">
        <v>1.8235542347690992</v>
      </c>
      <c r="AZ47">
        <v>1.8668234699274295</v>
      </c>
      <c r="BA47">
        <v>1.9107295135227749</v>
      </c>
      <c r="BB47">
        <v>1.9552757805555818</v>
      </c>
      <c r="BC47">
        <v>2.0004656860263008</v>
      </c>
      <c r="BD47">
        <v>2.0463026449353783</v>
      </c>
      <c r="BE47">
        <v>2.0927900722832637</v>
      </c>
      <c r="BF47">
        <v>2.1399313830704045</v>
      </c>
      <c r="BG47">
        <v>2.1877299922972515</v>
      </c>
      <c r="BH47">
        <v>2.2361893149642489</v>
      </c>
      <c r="BI47">
        <v>2.2853127660718489</v>
      </c>
    </row>
    <row r="48" spans="10:61" x14ac:dyDescent="0.3">
      <c r="J48" s="2">
        <f t="shared" si="1"/>
        <v>0.52000000000000035</v>
      </c>
      <c r="K48">
        <v>0.57183988125304019</v>
      </c>
      <c r="L48">
        <v>0.59193920536050959</v>
      </c>
      <c r="M48" s="13">
        <v>0.61251898542933558</v>
      </c>
      <c r="N48" s="13">
        <v>0.63358249415913104</v>
      </c>
      <c r="O48">
        <v>0.65513300424951026</v>
      </c>
      <c r="P48">
        <v>0.67717378840008668</v>
      </c>
      <c r="Q48" s="3">
        <v>0.69970811931047405</v>
      </c>
      <c r="R48" s="3">
        <v>0.72273926968028612</v>
      </c>
      <c r="S48" s="8">
        <v>0.74627051220913621</v>
      </c>
      <c r="T48">
        <v>0.7703051195966385</v>
      </c>
      <c r="U48">
        <v>0.79484636454240609</v>
      </c>
      <c r="V48">
        <v>0.8198975197460534</v>
      </c>
      <c r="W48">
        <v>0.84546185790719297</v>
      </c>
      <c r="X48">
        <v>0.87154265172543977</v>
      </c>
      <c r="Y48">
        <v>0.89814317390040654</v>
      </c>
      <c r="Z48">
        <v>0.92526669713170762</v>
      </c>
      <c r="AA48">
        <v>0.95291649411895574</v>
      </c>
      <c r="AB48" s="5">
        <v>0.98109583756176555</v>
      </c>
      <c r="AC48" s="6">
        <v>1.00980800015975</v>
      </c>
      <c r="AD48">
        <v>1.0390562546125235</v>
      </c>
      <c r="AE48" s="11">
        <v>1.068843873619699</v>
      </c>
      <c r="AF48" s="5">
        <v>1.0991741298808904</v>
      </c>
      <c r="AG48" s="9">
        <v>1.1300502960957115</v>
      </c>
      <c r="AH48">
        <v>1.161475644963776</v>
      </c>
      <c r="AI48">
        <v>1.1934534491846978</v>
      </c>
      <c r="AJ48">
        <v>1.2259869814580895</v>
      </c>
      <c r="AK48">
        <v>1.259079514483566</v>
      </c>
      <c r="AL48">
        <v>1.2927343209607405</v>
      </c>
      <c r="AM48">
        <v>1.3269546735892264</v>
      </c>
      <c r="AN48">
        <v>1.3617438450686377</v>
      </c>
      <c r="AO48">
        <v>1.3971051080985879</v>
      </c>
      <c r="AP48">
        <v>1.4330417353786913</v>
      </c>
      <c r="AQ48">
        <v>1.4695569996085607</v>
      </c>
      <c r="AR48">
        <v>1.5066541734878101</v>
      </c>
      <c r="AS48">
        <v>1.544336529716053</v>
      </c>
      <c r="AT48">
        <v>1.5826073409929036</v>
      </c>
      <c r="AU48">
        <v>1.6214698800179748</v>
      </c>
      <c r="AV48">
        <v>1.6609274194908807</v>
      </c>
      <c r="AW48">
        <v>1.7009832321112353</v>
      </c>
      <c r="AX48">
        <v>1.7416405905786521</v>
      </c>
      <c r="AY48">
        <v>1.782902767592744</v>
      </c>
      <c r="AZ48">
        <v>1.8247730358531256</v>
      </c>
      <c r="BA48">
        <v>1.86725466805941</v>
      </c>
      <c r="BB48">
        <v>1.9103509369112115</v>
      </c>
      <c r="BC48">
        <v>1.9540651151081427</v>
      </c>
      <c r="BD48">
        <v>1.9984004753498186</v>
      </c>
      <c r="BE48">
        <v>2.0433602903358521</v>
      </c>
      <c r="BF48">
        <v>2.0889478327658568</v>
      </c>
      <c r="BG48">
        <v>2.1351663753394465</v>
      </c>
      <c r="BH48">
        <v>2.1820191907562352</v>
      </c>
      <c r="BI48">
        <v>2.2295095517158359</v>
      </c>
    </row>
    <row r="49" spans="8:61" x14ac:dyDescent="0.3">
      <c r="J49" s="2">
        <f t="shared" si="1"/>
        <v>0.53000000000000036</v>
      </c>
      <c r="K49">
        <v>0.56808217004020611</v>
      </c>
      <c r="L49" s="13">
        <v>0.58770622304617015</v>
      </c>
      <c r="M49" s="13">
        <v>0.60779210508088866</v>
      </c>
      <c r="N49">
        <v>0.62834295483719838</v>
      </c>
      <c r="O49">
        <v>0.6493619110079365</v>
      </c>
      <c r="P49" s="3">
        <v>0.67085211228593966</v>
      </c>
      <c r="Q49" s="3">
        <v>0.69281669736404505</v>
      </c>
      <c r="R49" s="8">
        <v>0.71525880493508964</v>
      </c>
      <c r="S49">
        <v>0.73818157369191006</v>
      </c>
      <c r="T49">
        <v>0.76158814232734384</v>
      </c>
      <c r="U49">
        <v>0.78548164953422728</v>
      </c>
      <c r="V49">
        <v>0.80986523400539767</v>
      </c>
      <c r="W49">
        <v>0.83474203443369177</v>
      </c>
      <c r="X49">
        <v>0.86011518951194676</v>
      </c>
      <c r="Y49">
        <v>0.88598783793299929</v>
      </c>
      <c r="Z49">
        <v>0.91236311838968653</v>
      </c>
      <c r="AA49" s="5">
        <v>0.93924416957484547</v>
      </c>
      <c r="AB49" s="6">
        <v>0.96663413018131294</v>
      </c>
      <c r="AC49">
        <v>0.99453613890192549</v>
      </c>
      <c r="AD49" s="11">
        <v>1.0229533344295205</v>
      </c>
      <c r="AE49" s="11">
        <v>1.0518888554569352</v>
      </c>
      <c r="AF49" s="5">
        <v>1.081345840677006</v>
      </c>
      <c r="AG49">
        <v>1.1113274287825701</v>
      </c>
      <c r="AH49">
        <v>1.1418367584664644</v>
      </c>
      <c r="AI49">
        <v>1.1728769684215254</v>
      </c>
      <c r="AJ49">
        <v>1.2044511973405909</v>
      </c>
      <c r="AK49">
        <v>1.2365625839164971</v>
      </c>
      <c r="AL49">
        <v>1.2692142668420814</v>
      </c>
      <c r="AM49">
        <v>1.3024093848101805</v>
      </c>
      <c r="AN49">
        <v>1.3361510765136315</v>
      </c>
      <c r="AO49">
        <v>1.3704424806452713</v>
      </c>
      <c r="AP49">
        <v>1.4052867358979364</v>
      </c>
      <c r="AQ49">
        <v>1.4406869809644645</v>
      </c>
      <c r="AR49">
        <v>1.4766463545376922</v>
      </c>
      <c r="AS49">
        <v>1.5131679953104562</v>
      </c>
      <c r="AT49">
        <v>1.5502550419755934</v>
      </c>
      <c r="AU49">
        <v>1.5879106332259416</v>
      </c>
      <c r="AV49">
        <v>1.6261379077543365</v>
      </c>
      <c r="AW49">
        <v>1.664940004253616</v>
      </c>
      <c r="AX49">
        <v>1.7043200614166172</v>
      </c>
      <c r="AY49">
        <v>1.744281217936176</v>
      </c>
      <c r="AZ49">
        <v>1.7848266125051295</v>
      </c>
      <c r="BA49">
        <v>1.8259593838163162</v>
      </c>
      <c r="BB49">
        <v>1.8676826705625709</v>
      </c>
      <c r="BC49">
        <v>1.9099996114367319</v>
      </c>
      <c r="BD49">
        <v>1.9529133451316356</v>
      </c>
      <c r="BE49">
        <v>1.9964270103401198</v>
      </c>
      <c r="BF49">
        <v>2.04054374575502</v>
      </c>
      <c r="BG49">
        <v>2.0852666900691741</v>
      </c>
      <c r="BH49">
        <v>2.1305989819754187</v>
      </c>
      <c r="BI49">
        <v>2.1765437601665907</v>
      </c>
    </row>
    <row r="50" spans="8:61" x14ac:dyDescent="0.3">
      <c r="J50" s="2">
        <f t="shared" si="1"/>
        <v>0.54000000000000037</v>
      </c>
      <c r="K50" s="13">
        <v>0.56448021100765</v>
      </c>
      <c r="L50" s="13">
        <v>0.58365013150590572</v>
      </c>
      <c r="M50">
        <v>0.6032642963147774</v>
      </c>
      <c r="N50">
        <v>0.62332571779322443</v>
      </c>
      <c r="O50" s="3">
        <v>0.64383740830020586</v>
      </c>
      <c r="P50" s="3">
        <v>0.66480238019468096</v>
      </c>
      <c r="Q50" s="8">
        <v>0.68622364583560924</v>
      </c>
      <c r="R50">
        <v>0.70810421758194997</v>
      </c>
      <c r="S50">
        <v>0.73044710779266231</v>
      </c>
      <c r="T50">
        <v>0.75325532882670532</v>
      </c>
      <c r="U50">
        <v>0.77653189304303849</v>
      </c>
      <c r="V50">
        <v>0.80027981280062122</v>
      </c>
      <c r="W50">
        <v>0.82450210045841232</v>
      </c>
      <c r="X50">
        <v>0.84920176837537165</v>
      </c>
      <c r="Y50">
        <v>0.87438182891045801</v>
      </c>
      <c r="Z50" s="5">
        <v>0.90004529442263104</v>
      </c>
      <c r="AA50" s="6">
        <v>0.92619517727084966</v>
      </c>
      <c r="AB50">
        <v>0.95283448981407337</v>
      </c>
      <c r="AC50" s="11">
        <v>0.97996624441126134</v>
      </c>
      <c r="AD50" s="11">
        <v>1.0075934534213729</v>
      </c>
      <c r="AE50" s="5">
        <v>1.0357191292033674</v>
      </c>
      <c r="AF50">
        <v>1.0643462841162037</v>
      </c>
      <c r="AG50">
        <v>1.0934779305188418</v>
      </c>
      <c r="AH50">
        <v>1.1231170807702402</v>
      </c>
      <c r="AI50">
        <v>1.1532667472293587</v>
      </c>
      <c r="AJ50">
        <v>1.1839299422551564</v>
      </c>
      <c r="AK50">
        <v>1.2151096782065924</v>
      </c>
      <c r="AL50">
        <v>1.2468089674426261</v>
      </c>
      <c r="AM50">
        <v>1.2790308223222169</v>
      </c>
      <c r="AN50">
        <v>1.311778255204324</v>
      </c>
      <c r="AO50">
        <v>1.3450542784479067</v>
      </c>
      <c r="AP50">
        <v>1.3788619044119241</v>
      </c>
      <c r="AQ50">
        <v>1.4132041454553359</v>
      </c>
      <c r="AR50">
        <v>1.4480840139371005</v>
      </c>
      <c r="AS50">
        <v>1.4835045222161782</v>
      </c>
      <c r="AT50">
        <v>1.5194686826515278</v>
      </c>
      <c r="AU50">
        <v>1.5559795076021083</v>
      </c>
      <c r="AV50">
        <v>1.5930400094268791</v>
      </c>
      <c r="AW50">
        <v>1.6306532004848002</v>
      </c>
      <c r="AX50">
        <v>1.6688220931348301</v>
      </c>
      <c r="AY50">
        <v>1.7075496997359274</v>
      </c>
      <c r="AZ50">
        <v>1.7468390326470531</v>
      </c>
      <c r="BA50">
        <v>1.786693104227165</v>
      </c>
      <c r="BB50">
        <v>1.8271149268352238</v>
      </c>
      <c r="BC50">
        <v>1.8681075128301878</v>
      </c>
      <c r="BD50">
        <v>1.9096738745710158</v>
      </c>
      <c r="BE50">
        <v>1.9518170244166682</v>
      </c>
      <c r="BF50">
        <v>1.994539974726103</v>
      </c>
      <c r="BG50">
        <v>2.037845737858281</v>
      </c>
      <c r="BH50">
        <v>2.0817373261721599</v>
      </c>
      <c r="BI50">
        <v>2.1262177520267009</v>
      </c>
    </row>
    <row r="51" spans="8:61" x14ac:dyDescent="0.3">
      <c r="J51" s="2">
        <f t="shared" si="1"/>
        <v>0.55000000000000038</v>
      </c>
      <c r="K51">
        <v>0.56102461859810682</v>
      </c>
      <c r="L51">
        <v>0.5797602023273758</v>
      </c>
      <c r="M51">
        <v>0.59892341209653832</v>
      </c>
      <c r="N51" s="3">
        <v>0.61851714103905631</v>
      </c>
      <c r="O51" s="3">
        <v>0.63854428228839155</v>
      </c>
      <c r="P51" s="8">
        <v>0.65900772897800608</v>
      </c>
      <c r="Q51">
        <v>0.67991037424136203</v>
      </c>
      <c r="R51">
        <v>0.7012551112119213</v>
      </c>
      <c r="S51">
        <v>0.72304483302314537</v>
      </c>
      <c r="T51">
        <v>0.74528243280849693</v>
      </c>
      <c r="U51" s="15">
        <v>0.76797080370143733</v>
      </c>
      <c r="V51" s="15">
        <v>0.79111283883542882</v>
      </c>
      <c r="W51">
        <v>0.81471143134393331</v>
      </c>
      <c r="X51">
        <v>0.8387694743604126</v>
      </c>
      <c r="Y51" s="10">
        <v>0.86328986101832883</v>
      </c>
      <c r="Z51" s="10">
        <v>0.8882754844511439</v>
      </c>
      <c r="AA51">
        <v>0.91372923779231974</v>
      </c>
      <c r="AB51" s="11">
        <v>0.93965401417531802</v>
      </c>
      <c r="AC51" s="11">
        <v>0.96605270673360111</v>
      </c>
      <c r="AD51" s="5">
        <v>0.9929282086006308</v>
      </c>
      <c r="AE51">
        <v>1.020283412909869</v>
      </c>
      <c r="AF51">
        <v>1.0481212127947774</v>
      </c>
      <c r="AG51">
        <v>1.0764445013888186</v>
      </c>
      <c r="AH51">
        <v>1.1052561718254541</v>
      </c>
      <c r="AI51">
        <v>1.134559117238146</v>
      </c>
      <c r="AJ51">
        <v>1.1643562307603561</v>
      </c>
      <c r="AK51">
        <v>1.194650405525546</v>
      </c>
      <c r="AL51">
        <v>1.2254445346671785</v>
      </c>
      <c r="AM51">
        <v>1.256741511318715</v>
      </c>
      <c r="AN51">
        <v>1.2885442286136177</v>
      </c>
      <c r="AO51">
        <v>1.3208555796853483</v>
      </c>
      <c r="AP51">
        <v>1.3536784576673684</v>
      </c>
      <c r="AQ51">
        <v>1.3870157556931408</v>
      </c>
      <c r="AR51">
        <v>1.4208703668961271</v>
      </c>
      <c r="AS51">
        <v>1.4552451844097889</v>
      </c>
      <c r="AT51">
        <v>1.4901431013675888</v>
      </c>
      <c r="AU51">
        <v>1.525567010902988</v>
      </c>
      <c r="AV51">
        <v>1.5615198061494491</v>
      </c>
      <c r="AW51">
        <v>1.5980043802404336</v>
      </c>
      <c r="AX51">
        <v>1.6350236263094038</v>
      </c>
      <c r="AY51">
        <v>1.6725804374898214</v>
      </c>
      <c r="AZ51">
        <v>1.7106777069151482</v>
      </c>
      <c r="BA51">
        <v>1.7493183277188467</v>
      </c>
      <c r="BB51">
        <v>1.788505193034378</v>
      </c>
      <c r="BC51">
        <v>1.828241195995205</v>
      </c>
      <c r="BD51">
        <v>1.8685292297347889</v>
      </c>
      <c r="BE51">
        <v>1.9093721873865921</v>
      </c>
      <c r="BF51">
        <v>1.9507729620840761</v>
      </c>
      <c r="BG51">
        <v>1.9927344469607036</v>
      </c>
      <c r="BH51">
        <v>2.0352595351499359</v>
      </c>
      <c r="BI51">
        <v>2.0783511197852347</v>
      </c>
    </row>
    <row r="52" spans="8:61" x14ac:dyDescent="0.3">
      <c r="J52" s="2">
        <f t="shared" si="1"/>
        <v>0.56000000000000039</v>
      </c>
      <c r="K52">
        <v>0.55770674011726995</v>
      </c>
      <c r="L52">
        <v>0.57602654920408103</v>
      </c>
      <c r="M52" s="3">
        <v>0.5947582634803027</v>
      </c>
      <c r="N52" s="3">
        <v>0.61390466344833838</v>
      </c>
      <c r="O52" s="8">
        <v>0.63346852961059197</v>
      </c>
      <c r="P52">
        <v>0.65345264246946666</v>
      </c>
      <c r="Q52">
        <v>0.67385978252736667</v>
      </c>
      <c r="R52">
        <v>0.69469273028669498</v>
      </c>
      <c r="S52">
        <v>0.71595426624985592</v>
      </c>
      <c r="T52" s="15">
        <v>0.7376471709192528</v>
      </c>
      <c r="U52" s="15">
        <v>0.75977422479728907</v>
      </c>
      <c r="V52">
        <v>0.78233820838636892</v>
      </c>
      <c r="W52">
        <v>0.80534190218889512</v>
      </c>
      <c r="X52" s="10">
        <v>0.82878808670727211</v>
      </c>
      <c r="Y52" s="10">
        <v>0.85267954244390343</v>
      </c>
      <c r="Z52">
        <v>0.87701904990119239</v>
      </c>
      <c r="AA52" s="12">
        <v>0.90180938958154278</v>
      </c>
      <c r="AB52" s="11">
        <v>0.92705334198735845</v>
      </c>
      <c r="AC52" s="5">
        <v>0.95275368762104273</v>
      </c>
      <c r="AD52">
        <v>0.9789132069849994</v>
      </c>
      <c r="AE52">
        <v>1.0055346805816323</v>
      </c>
      <c r="AF52">
        <v>1.0326208889133444</v>
      </c>
      <c r="AG52">
        <v>1.0601746124825402</v>
      </c>
      <c r="AH52">
        <v>1.0881986317916228</v>
      </c>
      <c r="AI52">
        <v>1.1166957273429963</v>
      </c>
      <c r="AJ52">
        <v>1.1456686796390636</v>
      </c>
      <c r="AK52">
        <v>1.1751202691822291</v>
      </c>
      <c r="AL52">
        <v>1.205053276474896</v>
      </c>
      <c r="AM52">
        <v>1.2354704820194682</v>
      </c>
      <c r="AN52">
        <v>1.2663746663183491</v>
      </c>
      <c r="AO52">
        <v>1.2977686098739425</v>
      </c>
      <c r="AP52">
        <v>1.3296550931886519</v>
      </c>
      <c r="AQ52">
        <v>1.3620368967648815</v>
      </c>
      <c r="AR52">
        <v>1.3949168011050339</v>
      </c>
      <c r="AS52">
        <v>1.4282975867115137</v>
      </c>
      <c r="AT52">
        <v>1.462182034086724</v>
      </c>
      <c r="AU52">
        <v>1.4965729237330685</v>
      </c>
      <c r="AV52">
        <v>1.5314730361529516</v>
      </c>
      <c r="AW52">
        <v>1.5668851518487759</v>
      </c>
      <c r="AX52">
        <v>1.6028120513229456</v>
      </c>
      <c r="AY52">
        <v>1.6392565150778637</v>
      </c>
      <c r="AZ52">
        <v>1.6762213236159349</v>
      </c>
      <c r="BA52">
        <v>1.713709257439562</v>
      </c>
      <c r="BB52">
        <v>1.751723097051149</v>
      </c>
      <c r="BC52">
        <v>1.7902656229530995</v>
      </c>
      <c r="BD52">
        <v>1.8293396156478174</v>
      </c>
      <c r="BE52">
        <v>1.8689478556377055</v>
      </c>
      <c r="BF52">
        <v>1.9090931234251685</v>
      </c>
      <c r="BG52">
        <v>1.9497781995126096</v>
      </c>
      <c r="BH52">
        <v>1.9910058644024315</v>
      </c>
      <c r="BI52">
        <v>2.0327788985970399</v>
      </c>
    </row>
    <row r="53" spans="8:61" x14ac:dyDescent="0.3">
      <c r="J53" s="2">
        <f t="shared" si="1"/>
        <v>0.5700000000000004</v>
      </c>
      <c r="K53">
        <v>0.55451858606367577</v>
      </c>
      <c r="L53" s="3">
        <v>0.57244004753409661</v>
      </c>
      <c r="M53" s="3">
        <v>0.59075852777070703</v>
      </c>
      <c r="N53" s="8">
        <v>0.60947670077060689</v>
      </c>
      <c r="O53">
        <v>0.62859724053089627</v>
      </c>
      <c r="P53">
        <v>0.64812282104867458</v>
      </c>
      <c r="Q53">
        <v>0.66805611632104178</v>
      </c>
      <c r="R53">
        <v>0.68839980034509807</v>
      </c>
      <c r="S53" s="15">
        <v>0.70915654711794307</v>
      </c>
      <c r="T53" s="15">
        <v>0.73032903063667653</v>
      </c>
      <c r="U53">
        <v>0.75191992489839854</v>
      </c>
      <c r="V53">
        <v>0.77393190390020827</v>
      </c>
      <c r="W53" s="10">
        <v>0.79636764163920648</v>
      </c>
      <c r="X53" s="10">
        <v>0.81922981211249246</v>
      </c>
      <c r="Y53">
        <v>0.84252108931716607</v>
      </c>
      <c r="Z53" s="9">
        <v>0.86624414725032739</v>
      </c>
      <c r="AA53" s="9">
        <v>0.89040165990907605</v>
      </c>
      <c r="AB53" s="5">
        <v>0.91499630129051213</v>
      </c>
      <c r="AC53">
        <v>0.94003074539173526</v>
      </c>
      <c r="AD53">
        <v>0.96550766620984529</v>
      </c>
      <c r="AE53">
        <v>0.9914297377419421</v>
      </c>
      <c r="AF53">
        <v>1.0177996339851256</v>
      </c>
      <c r="AG53">
        <v>1.0446200289364957</v>
      </c>
      <c r="AH53">
        <v>1.0718935965931522</v>
      </c>
      <c r="AI53">
        <v>1.0996230109521945</v>
      </c>
      <c r="AJ53">
        <v>1.1278109460107231</v>
      </c>
      <c r="AK53">
        <v>1.1564600757658379</v>
      </c>
      <c r="AL53">
        <v>1.185573074214638</v>
      </c>
      <c r="AM53">
        <v>1.2151526153542231</v>
      </c>
      <c r="AN53">
        <v>1.2452013731816947</v>
      </c>
      <c r="AO53">
        <v>1.2757220216941509</v>
      </c>
      <c r="AP53">
        <v>1.3067172348886922</v>
      </c>
      <c r="AQ53">
        <v>1.3381896867624188</v>
      </c>
      <c r="AR53">
        <v>1.3701420513124296</v>
      </c>
      <c r="AS53">
        <v>1.4025770025358255</v>
      </c>
      <c r="AT53">
        <v>1.4354972144297056</v>
      </c>
      <c r="AU53">
        <v>1.4689053609911702</v>
      </c>
      <c r="AV53">
        <v>1.5028041162173187</v>
      </c>
      <c r="AW53">
        <v>1.5371961541052515</v>
      </c>
      <c r="AX53">
        <v>1.572084148652068</v>
      </c>
      <c r="AY53">
        <v>1.6074707738548679</v>
      </c>
      <c r="AZ53">
        <v>1.6433587037107515</v>
      </c>
      <c r="BA53">
        <v>1.6797506122168187</v>
      </c>
      <c r="BB53">
        <v>1.7166491733701688</v>
      </c>
      <c r="BC53">
        <v>1.7540570611679023</v>
      </c>
      <c r="BD53">
        <v>1.7919769496071183</v>
      </c>
      <c r="BE53">
        <v>1.8304115126849172</v>
      </c>
      <c r="BF53">
        <v>1.8693634243983988</v>
      </c>
      <c r="BG53">
        <v>1.9088353587446625</v>
      </c>
      <c r="BH53">
        <v>1.9488299897208088</v>
      </c>
      <c r="BI53">
        <v>1.9893499913239372</v>
      </c>
    </row>
    <row r="54" spans="8:61" x14ac:dyDescent="0.3">
      <c r="J54" s="2">
        <f t="shared" si="1"/>
        <v>0.5800000000000004</v>
      </c>
      <c r="K54" s="3">
        <v>0.55145276821320899</v>
      </c>
      <c r="L54" s="3">
        <v>0.56899226300030181</v>
      </c>
      <c r="M54" s="8">
        <v>0.58691466697781314</v>
      </c>
      <c r="N54">
        <v>0.60522255333518526</v>
      </c>
      <c r="O54">
        <v>0.62391849526186094</v>
      </c>
      <c r="P54">
        <v>0.64300506594728213</v>
      </c>
      <c r="Q54">
        <v>0.66248483858089202</v>
      </c>
      <c r="R54" s="15">
        <v>0.68236038635213303</v>
      </c>
      <c r="S54" s="15">
        <v>0.70263428245044734</v>
      </c>
      <c r="T54">
        <v>0.72330910006527793</v>
      </c>
      <c r="U54">
        <v>0.74438741238606687</v>
      </c>
      <c r="V54" s="10">
        <v>0.76587179260225713</v>
      </c>
      <c r="W54" s="10">
        <v>0.78776481390329089</v>
      </c>
      <c r="X54">
        <v>0.81006904947861103</v>
      </c>
      <c r="Y54" s="9">
        <v>0.83278707251765971</v>
      </c>
      <c r="Z54" s="9">
        <v>0.85592145620987969</v>
      </c>
      <c r="AA54" s="9">
        <v>0.87947477374471361</v>
      </c>
      <c r="AB54">
        <v>0.90344959831160376</v>
      </c>
      <c r="AC54">
        <v>0.92784850309999256</v>
      </c>
      <c r="AD54">
        <v>0.95267406129932275</v>
      </c>
      <c r="AE54">
        <v>0.9779288460990373</v>
      </c>
      <c r="AF54">
        <v>1.0036154306885781</v>
      </c>
      <c r="AG54">
        <v>1.0297363882573878</v>
      </c>
      <c r="AH54">
        <v>1.056294291994909</v>
      </c>
      <c r="AI54">
        <v>1.0832917150905841</v>
      </c>
      <c r="AJ54">
        <v>1.1107312307338562</v>
      </c>
      <c r="AK54">
        <v>1.1386154121141669</v>
      </c>
      <c r="AL54">
        <v>1.1669468324209598</v>
      </c>
      <c r="AM54">
        <v>1.1957280648436768</v>
      </c>
      <c r="AN54">
        <v>1.22496168257176</v>
      </c>
      <c r="AO54">
        <v>1.2546502587946526</v>
      </c>
      <c r="AP54">
        <v>1.2847963667017972</v>
      </c>
      <c r="AQ54">
        <v>1.3154025794826363</v>
      </c>
      <c r="AR54">
        <v>1.3464714703266121</v>
      </c>
      <c r="AS54">
        <v>1.3780056124231668</v>
      </c>
      <c r="AT54">
        <v>1.4100075789617441</v>
      </c>
      <c r="AU54">
        <v>1.4424799431317854</v>
      </c>
      <c r="AV54">
        <v>1.4754252781227342</v>
      </c>
      <c r="AW54">
        <v>1.5088461571240315</v>
      </c>
      <c r="AX54">
        <v>1.5427451533251217</v>
      </c>
      <c r="AY54">
        <v>1.5771248399154458</v>
      </c>
      <c r="AZ54">
        <v>1.6119877900844477</v>
      </c>
      <c r="BA54">
        <v>1.6473365770215691</v>
      </c>
      <c r="BB54">
        <v>1.6831737739162524</v>
      </c>
      <c r="BC54">
        <v>1.7195019539579404</v>
      </c>
      <c r="BD54">
        <v>1.7563236903360757</v>
      </c>
      <c r="BE54">
        <v>1.7936415562401014</v>
      </c>
      <c r="BF54">
        <v>1.8314581248594584</v>
      </c>
      <c r="BG54">
        <v>1.8697759693835907</v>
      </c>
      <c r="BH54">
        <v>1.9085976630019403</v>
      </c>
      <c r="BI54">
        <v>1.9479257789039495</v>
      </c>
    </row>
    <row r="55" spans="8:61" x14ac:dyDescent="0.3">
      <c r="J55" s="2">
        <f t="shared" si="1"/>
        <v>0.59000000000000041</v>
      </c>
      <c r="K55" s="3">
        <v>0.54850244447434082</v>
      </c>
      <c r="L55" s="8">
        <v>0.56567538798904327</v>
      </c>
      <c r="M55">
        <v>0.58321785525139735</v>
      </c>
      <c r="N55">
        <v>0.60113232394917682</v>
      </c>
      <c r="O55">
        <v>0.61942127177015516</v>
      </c>
      <c r="P55">
        <v>0.63808717640210622</v>
      </c>
      <c r="Q55" s="15">
        <v>0.65713251553280372</v>
      </c>
      <c r="R55" s="15">
        <v>0.6765597668500215</v>
      </c>
      <c r="S55">
        <v>0.69637140804153341</v>
      </c>
      <c r="T55">
        <v>0.71656991679511273</v>
      </c>
      <c r="U55" s="10">
        <v>0.73715777079853351</v>
      </c>
      <c r="V55" s="10">
        <v>0.75813744773956959</v>
      </c>
      <c r="W55">
        <v>0.77951142530599415</v>
      </c>
      <c r="X55" s="9">
        <v>0.80128218118558159</v>
      </c>
      <c r="Y55" s="9">
        <v>0.82345219306610518</v>
      </c>
      <c r="Z55" s="9">
        <v>0.8460239386353392</v>
      </c>
      <c r="AA55">
        <v>0.86899989558105661</v>
      </c>
      <c r="AB55">
        <v>0.8923825415910317</v>
      </c>
      <c r="AC55">
        <v>0.91617435435303773</v>
      </c>
      <c r="AD55">
        <v>0.94037781155484912</v>
      </c>
      <c r="AE55">
        <v>0.96499539088423913</v>
      </c>
      <c r="AF55">
        <v>0.9900295700289814</v>
      </c>
      <c r="AG55">
        <v>1.0154828266768499</v>
      </c>
      <c r="AH55">
        <v>1.0413576385156182</v>
      </c>
      <c r="AI55">
        <v>1.0676564832330604</v>
      </c>
      <c r="AJ55">
        <v>1.0943818385169497</v>
      </c>
      <c r="AK55">
        <v>1.1215361820550602</v>
      </c>
      <c r="AL55">
        <v>1.1491219915351654</v>
      </c>
      <c r="AM55">
        <v>1.177141744645039</v>
      </c>
      <c r="AN55">
        <v>1.2055979190724553</v>
      </c>
      <c r="AO55">
        <v>1.2344929925051873</v>
      </c>
      <c r="AP55">
        <v>1.2638294426310088</v>
      </c>
      <c r="AQ55">
        <v>1.2936097471376944</v>
      </c>
      <c r="AR55">
        <v>1.3238363837130167</v>
      </c>
      <c r="AS55">
        <v>1.3545118300447503</v>
      </c>
      <c r="AT55">
        <v>1.3856385638206683</v>
      </c>
      <c r="AU55">
        <v>1.4172190627285446</v>
      </c>
      <c r="AV55">
        <v>1.449255804456153</v>
      </c>
      <c r="AW55">
        <v>1.4817512666912673</v>
      </c>
      <c r="AX55">
        <v>1.5147079271216612</v>
      </c>
      <c r="AY55">
        <v>1.5481282634351086</v>
      </c>
      <c r="AZ55">
        <v>1.5820147533193827</v>
      </c>
      <c r="BA55">
        <v>1.6163698744622577</v>
      </c>
      <c r="BB55">
        <v>1.6511961045515069</v>
      </c>
      <c r="BC55">
        <v>1.6864959212749047</v>
      </c>
      <c r="BD55">
        <v>1.7222718023202244</v>
      </c>
      <c r="BE55">
        <v>1.7585262253752396</v>
      </c>
      <c r="BF55">
        <v>1.7952616681277245</v>
      </c>
      <c r="BG55">
        <v>1.8324806082654528</v>
      </c>
      <c r="BH55">
        <v>1.8701855234761968</v>
      </c>
      <c r="BI55">
        <v>1.9083788914477322</v>
      </c>
    </row>
    <row r="56" spans="8:61" x14ac:dyDescent="0.3">
      <c r="J56" s="2">
        <f t="shared" si="1"/>
        <v>0.60000000000000042</v>
      </c>
      <c r="K56" s="8">
        <v>0.54566126966977768</v>
      </c>
      <c r="L56">
        <v>0.56248218486673374</v>
      </c>
      <c r="M56">
        <v>0.57965991416824214</v>
      </c>
      <c r="N56">
        <v>0.59719684470754164</v>
      </c>
      <c r="O56">
        <v>0.61509536361787176</v>
      </c>
      <c r="P56" s="15">
        <v>0.6333578580324718</v>
      </c>
      <c r="Q56" s="15">
        <v>0.65198671508458095</v>
      </c>
      <c r="R56">
        <v>0.67098432190743895</v>
      </c>
      <c r="S56">
        <v>0.69035306563428445</v>
      </c>
      <c r="T56">
        <v>0.7100953333983574</v>
      </c>
      <c r="U56" s="10">
        <v>0.73021351233289622</v>
      </c>
      <c r="V56">
        <v>0.75070998957114121</v>
      </c>
      <c r="W56" s="9">
        <v>0.77158715224633079</v>
      </c>
      <c r="X56" s="9">
        <v>0.79284738749170502</v>
      </c>
      <c r="Y56" s="9">
        <v>0.81449308244050267</v>
      </c>
      <c r="Z56">
        <v>0.83652662422596336</v>
      </c>
      <c r="AA56">
        <v>0.85895039998132616</v>
      </c>
      <c r="AB56">
        <v>0.88176679683983061</v>
      </c>
      <c r="AC56">
        <v>0.90497820193471556</v>
      </c>
      <c r="AD56">
        <v>0.92858700239922076</v>
      </c>
      <c r="AE56">
        <v>0.9525955853665854</v>
      </c>
      <c r="AF56">
        <v>0.97700633797004877</v>
      </c>
      <c r="AG56">
        <v>1.0018216473428498</v>
      </c>
      <c r="AH56">
        <v>1.0270439006182286</v>
      </c>
      <c r="AI56">
        <v>1.0526754849294238</v>
      </c>
      <c r="AJ56">
        <v>1.0787187874096746</v>
      </c>
      <c r="AK56">
        <v>1.105176195192221</v>
      </c>
      <c r="AL56">
        <v>1.1320500954103017</v>
      </c>
      <c r="AM56">
        <v>1.1593428751971562</v>
      </c>
      <c r="AN56">
        <v>1.1870569216860236</v>
      </c>
      <c r="AO56">
        <v>1.2151946220101435</v>
      </c>
      <c r="AP56">
        <v>1.2437583633027551</v>
      </c>
      <c r="AQ56">
        <v>1.2727505326970976</v>
      </c>
      <c r="AR56">
        <v>1.3021735173264104</v>
      </c>
      <c r="AS56">
        <v>1.3320297043239331</v>
      </c>
      <c r="AT56">
        <v>1.3623214808229043</v>
      </c>
      <c r="AU56">
        <v>1.3930512339565635</v>
      </c>
      <c r="AV56">
        <v>1.4242213508581507</v>
      </c>
      <c r="AW56">
        <v>1.4558342186609043</v>
      </c>
      <c r="AX56">
        <v>1.4878922244980644</v>
      </c>
      <c r="AY56">
        <v>1.5203977555028694</v>
      </c>
      <c r="AZ56">
        <v>1.5533531988085589</v>
      </c>
      <c r="BA56">
        <v>1.586760941548373</v>
      </c>
      <c r="BB56">
        <v>1.6206233708555495</v>
      </c>
      <c r="BC56">
        <v>1.6549428738633292</v>
      </c>
      <c r="BD56">
        <v>1.6897218377049508</v>
      </c>
      <c r="BE56">
        <v>1.7249626495136534</v>
      </c>
      <c r="BF56">
        <v>1.7606676964226762</v>
      </c>
      <c r="BG56">
        <v>1.796839365565259</v>
      </c>
      <c r="BH56">
        <v>1.8334800440746406</v>
      </c>
      <c r="BI56">
        <v>1.8705921190840609</v>
      </c>
    </row>
    <row r="60" spans="8:61" x14ac:dyDescent="0.3">
      <c r="H60">
        <v>0.68500000000000005</v>
      </c>
    </row>
    <row r="62" spans="8:61" x14ac:dyDescent="0.3">
      <c r="I62">
        <f>0.1</f>
        <v>0.1</v>
      </c>
      <c r="J62">
        <f>I62+0.1</f>
        <v>0.2</v>
      </c>
    </row>
  </sheetData>
  <conditionalFormatting sqref="K6:BI56">
    <cfRule type="cellIs" dxfId="3" priority="1" operator="between">
      <formula>0.8</formula>
      <formula>1.2</formula>
    </cfRule>
    <cfRule type="cellIs" dxfId="2" priority="5" operator="between">
      <formula>0.9</formula>
      <formula>1.1</formula>
    </cfRule>
    <cfRule type="cellIs" dxfId="1" priority="6" operator="between">
      <formula>1.7</formula>
      <formula>1.95</formula>
    </cfRule>
    <cfRule type="cellIs" dxfId="0" priority="7" operator="between">
      <formula>1.7</formula>
      <formula>1.9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87BD010D-1B48-41B4-8544-3AF1200CE5C8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K6</xm:sqref>
        </x14:conditionalFormatting>
        <x14:conditionalFormatting xmlns:xm="http://schemas.microsoft.com/office/excel/2006/main">
          <x14:cfRule type="iconSet" priority="2" id="{D498895A-0F8F-448C-A646-054D3EFC8C52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6-осевой робот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Gorelov</dc:creator>
  <cp:lastModifiedBy>Andrey Petrov</cp:lastModifiedBy>
  <dcterms:created xsi:type="dcterms:W3CDTF">2025-06-09T19:46:06Z</dcterms:created>
  <dcterms:modified xsi:type="dcterms:W3CDTF">2026-04-01T19:06:38Z</dcterms:modified>
</cp:coreProperties>
</file>